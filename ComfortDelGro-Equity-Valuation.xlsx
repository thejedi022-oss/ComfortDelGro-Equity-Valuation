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Jing\Downloads\"/>
    </mc:Choice>
  </mc:AlternateContent>
  <xr:revisionPtr revIDLastSave="0" documentId="13_ncr:1_{2EC634B8-E728-4FEE-A5B5-C118D80222AE}" xr6:coauthVersionLast="47" xr6:coauthVersionMax="47" xr10:uidLastSave="{00000000-0000-0000-0000-000000000000}"/>
  <bookViews>
    <workbookView xWindow="-120" yWindow="-120" windowWidth="29040" windowHeight="15720" xr2:uid="{D93AAA56-1308-4026-9D8F-E913B55E5CC3}"/>
  </bookViews>
  <sheets>
    <sheet name="Unlevered cash flow" sheetId="14" r:id="rId1"/>
    <sheet name="WACC" sheetId="15" r:id="rId2"/>
    <sheet name="COMPARABLE COMPANIES" sheetId="16" r:id="rId3"/>
    <sheet name="beta calculation" sheetId="17" r:id="rId4"/>
    <sheet name="Profit &amp; loss" sheetId="7" r:id="rId5"/>
    <sheet name="cash Flow" sheetId="8" r:id="rId6"/>
    <sheet name="balance sheet" sheetId="6" r:id="rId7"/>
    <sheet name="Fixed assets schedule" sheetId="9" r:id="rId8"/>
    <sheet name="retained earnings schedule" sheetId="10" r:id="rId9"/>
    <sheet name="non-controlling interests " sheetId="11" r:id="rId10"/>
    <sheet name="debt schedule" sheetId="12" r:id="rId11"/>
    <sheet name="data source---&gt;" sheetId="13" r:id="rId12"/>
    <sheet name="Income Statement - Data" sheetId="2" r:id="rId13"/>
    <sheet name="Balance Sheet - Data" sheetId="3" r:id="rId14"/>
  </sheets>
  <externalReferences>
    <externalReference r:id="rId15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6" i="14" l="1"/>
  <c r="B83" i="14"/>
  <c r="D79" i="7"/>
  <c r="D77" i="7"/>
  <c r="C77" i="7"/>
  <c r="C79" i="7"/>
  <c r="D78" i="7"/>
  <c r="C78" i="7"/>
  <c r="E73" i="7"/>
  <c r="F73" i="7"/>
  <c r="G73" i="7"/>
  <c r="H73" i="7"/>
  <c r="I73" i="7"/>
  <c r="D73" i="7"/>
  <c r="E12" i="14"/>
  <c r="F12" i="14"/>
  <c r="G12" i="14"/>
  <c r="H12" i="14"/>
  <c r="I12" i="14"/>
  <c r="E13" i="14"/>
  <c r="F13" i="14"/>
  <c r="G13" i="14"/>
  <c r="H13" i="14"/>
  <c r="I13" i="14"/>
  <c r="E17" i="14"/>
  <c r="F17" i="14"/>
  <c r="G17" i="14"/>
  <c r="H17" i="14"/>
  <c r="I17" i="14"/>
  <c r="E18" i="14"/>
  <c r="F18" i="14"/>
  <c r="G18" i="14"/>
  <c r="H18" i="14"/>
  <c r="I18" i="14"/>
  <c r="E19" i="14"/>
  <c r="F19" i="14"/>
  <c r="G19" i="14"/>
  <c r="H19" i="14"/>
  <c r="I19" i="14"/>
  <c r="E20" i="14"/>
  <c r="F20" i="14"/>
  <c r="G20" i="14"/>
  <c r="H20" i="14"/>
  <c r="I20" i="14"/>
  <c r="E21" i="14"/>
  <c r="F21" i="14"/>
  <c r="G21" i="14"/>
  <c r="H21" i="14"/>
  <c r="I21" i="14"/>
  <c r="E22" i="14"/>
  <c r="F22" i="14"/>
  <c r="G22" i="14"/>
  <c r="H22" i="14"/>
  <c r="I22" i="14"/>
  <c r="E23" i="14"/>
  <c r="F23" i="14"/>
  <c r="G23" i="14"/>
  <c r="H23" i="14"/>
  <c r="I23" i="14"/>
  <c r="E24" i="14"/>
  <c r="F24" i="14"/>
  <c r="G24" i="14"/>
  <c r="H24" i="14"/>
  <c r="I24" i="14"/>
  <c r="E25" i="14"/>
  <c r="F25" i="14"/>
  <c r="G25" i="14"/>
  <c r="H25" i="14"/>
  <c r="I25" i="14"/>
  <c r="F11" i="14"/>
  <c r="G11" i="14"/>
  <c r="H11" i="14"/>
  <c r="I11" i="14"/>
  <c r="E11" i="14"/>
  <c r="F99" i="7"/>
  <c r="G99" i="7"/>
  <c r="H99" i="7"/>
  <c r="I99" i="7"/>
  <c r="E99" i="7"/>
  <c r="E97" i="7"/>
  <c r="D69" i="7"/>
  <c r="D68" i="7"/>
  <c r="C68" i="7"/>
  <c r="C69" i="7"/>
  <c r="D67" i="7"/>
  <c r="C67" i="7"/>
  <c r="B82" i="14"/>
  <c r="E79" i="14"/>
  <c r="D79" i="14" s="1"/>
  <c r="C79" i="14" s="1"/>
  <c r="F14" i="8"/>
  <c r="G14" i="8"/>
  <c r="H14" i="8"/>
  <c r="I14" i="8"/>
  <c r="E14" i="8"/>
  <c r="E32" i="7"/>
  <c r="E14" i="9"/>
  <c r="I12" i="9"/>
  <c r="H12" i="9"/>
  <c r="G12" i="9"/>
  <c r="F12" i="9"/>
  <c r="E12" i="9"/>
  <c r="E5" i="9"/>
  <c r="I98" i="7"/>
  <c r="I97" i="7" s="1"/>
  <c r="H98" i="7"/>
  <c r="G98" i="7"/>
  <c r="H97" i="7"/>
  <c r="G97" i="7"/>
  <c r="H96" i="7"/>
  <c r="G96" i="7"/>
  <c r="E14" i="7"/>
  <c r="I83" i="7"/>
  <c r="I84" i="7" s="1"/>
  <c r="H83" i="7"/>
  <c r="H84" i="7" s="1"/>
  <c r="G83" i="7"/>
  <c r="G84" i="7" s="1"/>
  <c r="G82" i="7"/>
  <c r="I81" i="7"/>
  <c r="H81" i="7"/>
  <c r="G81" i="7"/>
  <c r="D18" i="15"/>
  <c r="D5" i="15"/>
  <c r="G71" i="7"/>
  <c r="H71" i="7"/>
  <c r="I71" i="7"/>
  <c r="G72" i="7"/>
  <c r="H72" i="7"/>
  <c r="I72" i="7"/>
  <c r="G74" i="7"/>
  <c r="H74" i="7"/>
  <c r="I74" i="7"/>
  <c r="H61" i="7"/>
  <c r="I61" i="7"/>
  <c r="G63" i="7"/>
  <c r="G61" i="7" s="1"/>
  <c r="H63" i="7"/>
  <c r="H62" i="7" s="1"/>
  <c r="I63" i="7"/>
  <c r="I62" i="7" s="1"/>
  <c r="G64" i="7"/>
  <c r="H64" i="7"/>
  <c r="I64" i="7"/>
  <c r="G56" i="7"/>
  <c r="I56" i="7"/>
  <c r="G58" i="7"/>
  <c r="G57" i="7" s="1"/>
  <c r="H58" i="7"/>
  <c r="H56" i="7" s="1"/>
  <c r="I58" i="7"/>
  <c r="I57" i="7" s="1"/>
  <c r="G59" i="7"/>
  <c r="I59" i="7"/>
  <c r="G54" i="7"/>
  <c r="H54" i="7"/>
  <c r="I54" i="7"/>
  <c r="G51" i="7"/>
  <c r="H51" i="7"/>
  <c r="I51" i="7"/>
  <c r="G52" i="7"/>
  <c r="H52" i="7"/>
  <c r="I52" i="7"/>
  <c r="G53" i="7"/>
  <c r="H53" i="7"/>
  <c r="I53" i="7"/>
  <c r="G9" i="14"/>
  <c r="H9" i="14"/>
  <c r="I9" i="14"/>
  <c r="C63" i="14"/>
  <c r="G43" i="14"/>
  <c r="G42" i="14" s="1"/>
  <c r="D11" i="14"/>
  <c r="H8" i="15"/>
  <c r="G53" i="8"/>
  <c r="H53" i="8"/>
  <c r="I53" i="8"/>
  <c r="G25" i="8"/>
  <c r="H25" i="8"/>
  <c r="I25" i="8"/>
  <c r="I21" i="8"/>
  <c r="H21" i="8"/>
  <c r="G21" i="8"/>
  <c r="F2" i="9"/>
  <c r="G2" i="9" s="1"/>
  <c r="H2" i="9" s="1"/>
  <c r="I2" i="9" s="1"/>
  <c r="E2" i="9"/>
  <c r="D2" i="10"/>
  <c r="E2" i="10" s="1"/>
  <c r="F2" i="10" s="1"/>
  <c r="G2" i="10" s="1"/>
  <c r="H2" i="10" s="1"/>
  <c r="F2" i="11"/>
  <c r="G2" i="11" s="1"/>
  <c r="H2" i="11" s="1"/>
  <c r="F13" i="12"/>
  <c r="G13" i="12"/>
  <c r="H13" i="12"/>
  <c r="F10" i="12"/>
  <c r="G10" i="12"/>
  <c r="H10" i="12"/>
  <c r="F11" i="12"/>
  <c r="G11" i="12"/>
  <c r="H9" i="12" s="1"/>
  <c r="H11" i="12"/>
  <c r="F9" i="12"/>
  <c r="G9" i="12"/>
  <c r="F7" i="12"/>
  <c r="G7" i="12"/>
  <c r="H7" i="12"/>
  <c r="F3" i="12"/>
  <c r="G3" i="12"/>
  <c r="H3" i="12"/>
  <c r="F5" i="12"/>
  <c r="G5" i="12"/>
  <c r="H5" i="12"/>
  <c r="I6" i="8"/>
  <c r="G3" i="8"/>
  <c r="H3" i="8"/>
  <c r="I3" i="8"/>
  <c r="K46" i="6"/>
  <c r="K42" i="6"/>
  <c r="L42" i="6" s="1"/>
  <c r="M38" i="6"/>
  <c r="L38" i="6"/>
  <c r="K38" i="6"/>
  <c r="K4" i="6"/>
  <c r="L4" i="6"/>
  <c r="M4" i="6" s="1"/>
  <c r="F2" i="12"/>
  <c r="G2" i="12"/>
  <c r="H2" i="12" s="1"/>
  <c r="G104" i="7"/>
  <c r="H104" i="7"/>
  <c r="I104" i="7"/>
  <c r="G101" i="7"/>
  <c r="G38" i="7" s="1"/>
  <c r="H101" i="7"/>
  <c r="H38" i="7" s="1"/>
  <c r="I101" i="7"/>
  <c r="I38" i="7" s="1"/>
  <c r="F101" i="7"/>
  <c r="G102" i="7"/>
  <c r="H102" i="7"/>
  <c r="I102" i="7"/>
  <c r="G103" i="7"/>
  <c r="H103" i="7"/>
  <c r="I103" i="7"/>
  <c r="G37" i="7"/>
  <c r="G6" i="8" s="1"/>
  <c r="H37" i="7"/>
  <c r="H6" i="8" s="1"/>
  <c r="I37" i="7"/>
  <c r="G91" i="7"/>
  <c r="G36" i="7" s="1"/>
  <c r="H91" i="7"/>
  <c r="H36" i="7" s="1"/>
  <c r="I91" i="7"/>
  <c r="I36" i="7" s="1"/>
  <c r="G94" i="7"/>
  <c r="H94" i="7"/>
  <c r="I94" i="7"/>
  <c r="G92" i="7"/>
  <c r="H92" i="7"/>
  <c r="I92" i="7"/>
  <c r="G93" i="7"/>
  <c r="H93" i="7"/>
  <c r="I93" i="7"/>
  <c r="F93" i="7"/>
  <c r="G26" i="7"/>
  <c r="H26" i="7"/>
  <c r="I26" i="7"/>
  <c r="G28" i="7"/>
  <c r="H28" i="7"/>
  <c r="I28" i="7"/>
  <c r="G18" i="7"/>
  <c r="G15" i="14" s="1"/>
  <c r="H18" i="7"/>
  <c r="H15" i="14" s="1"/>
  <c r="I18" i="7"/>
  <c r="I15" i="14" s="1"/>
  <c r="G20" i="7"/>
  <c r="H20" i="7"/>
  <c r="I20" i="7"/>
  <c r="G21" i="7"/>
  <c r="H21" i="7"/>
  <c r="I21" i="7"/>
  <c r="G22" i="7"/>
  <c r="H22" i="7"/>
  <c r="I22" i="7"/>
  <c r="G23" i="7"/>
  <c r="H23" i="7"/>
  <c r="I23" i="7"/>
  <c r="G24" i="7"/>
  <c r="H24" i="7"/>
  <c r="I24" i="7"/>
  <c r="G25" i="7"/>
  <c r="H25" i="7"/>
  <c r="I25" i="7"/>
  <c r="G16" i="7"/>
  <c r="H16" i="7"/>
  <c r="I16" i="7"/>
  <c r="G15" i="7"/>
  <c r="H15" i="7"/>
  <c r="I15" i="7"/>
  <c r="G14" i="7"/>
  <c r="H14" i="7"/>
  <c r="I14" i="7"/>
  <c r="H12" i="7"/>
  <c r="I12" i="7" s="1"/>
  <c r="G12" i="7"/>
  <c r="G44" i="7"/>
  <c r="H44" i="7"/>
  <c r="I44" i="7"/>
  <c r="F53" i="7"/>
  <c r="G46" i="7"/>
  <c r="H46" i="7"/>
  <c r="I46" i="7"/>
  <c r="G49" i="7"/>
  <c r="H49" i="7"/>
  <c r="I49" i="7"/>
  <c r="G47" i="7"/>
  <c r="H47" i="7"/>
  <c r="I47" i="7"/>
  <c r="G11" i="7"/>
  <c r="H11" i="7" s="1"/>
  <c r="I11" i="7" s="1"/>
  <c r="Q4" i="17"/>
  <c r="AT3" i="17"/>
  <c r="AA3" i="17"/>
  <c r="AJ3" i="17"/>
  <c r="AT2" i="17"/>
  <c r="AJ2" i="17"/>
  <c r="Q2" i="17"/>
  <c r="AA2" i="17"/>
  <c r="D17" i="15"/>
  <c r="D16" i="15"/>
  <c r="C55" i="14"/>
  <c r="B84" i="14"/>
  <c r="B80" i="14"/>
  <c r="B81" i="14"/>
  <c r="C65" i="14"/>
  <c r="C64" i="14"/>
  <c r="F79" i="14" l="1"/>
  <c r="G79" i="14" s="1"/>
  <c r="I96" i="7"/>
  <c r="H82" i="7"/>
  <c r="I82" i="7"/>
  <c r="G62" i="7"/>
  <c r="H59" i="7"/>
  <c r="H57" i="7"/>
  <c r="H43" i="14"/>
  <c r="L46" i="6"/>
  <c r="M42" i="6"/>
  <c r="M46" i="6" s="1"/>
  <c r="F4" i="16"/>
  <c r="F13" i="16"/>
  <c r="B3" i="16"/>
  <c r="F8" i="16"/>
  <c r="F12" i="16"/>
  <c r="F7" i="16"/>
  <c r="F3" i="16"/>
  <c r="B2" i="16" s="1"/>
  <c r="H42" i="14" l="1"/>
  <c r="I43" i="14"/>
  <c r="I42" i="14" s="1"/>
  <c r="B4" i="16"/>
  <c r="B6" i="16"/>
  <c r="B5" i="16"/>
  <c r="D36" i="14"/>
  <c r="C36" i="14"/>
  <c r="D35" i="14"/>
  <c r="C35" i="14"/>
  <c r="D13" i="15"/>
  <c r="D12" i="15"/>
  <c r="D14" i="15" s="1"/>
  <c r="E43" i="14" l="1"/>
  <c r="F43" i="14" s="1"/>
  <c r="F42" i="14" s="1"/>
  <c r="D42" i="14"/>
  <c r="C42" i="14"/>
  <c r="D32" i="14"/>
  <c r="D12" i="7"/>
  <c r="D9" i="14" s="1"/>
  <c r="D25" i="14"/>
  <c r="C25" i="14"/>
  <c r="D24" i="14"/>
  <c r="C24" i="14"/>
  <c r="D23" i="14"/>
  <c r="C23" i="14"/>
  <c r="D22" i="14"/>
  <c r="C22" i="14"/>
  <c r="D21" i="14"/>
  <c r="C21" i="14"/>
  <c r="D20" i="14"/>
  <c r="C20" i="14"/>
  <c r="D19" i="14"/>
  <c r="C19" i="14"/>
  <c r="D18" i="14"/>
  <c r="C18" i="14"/>
  <c r="D17" i="14"/>
  <c r="C17" i="14"/>
  <c r="D16" i="14"/>
  <c r="C16" i="14"/>
  <c r="D15" i="14"/>
  <c r="C15" i="14"/>
  <c r="D14" i="14"/>
  <c r="C14" i="14"/>
  <c r="D13" i="14"/>
  <c r="C13" i="14"/>
  <c r="D12" i="14"/>
  <c r="C12" i="14"/>
  <c r="C11" i="14"/>
  <c r="E8" i="14"/>
  <c r="F8" i="14" s="1"/>
  <c r="D7" i="14"/>
  <c r="C7" i="14"/>
  <c r="B1" i="14"/>
  <c r="E55" i="8"/>
  <c r="J42" i="6"/>
  <c r="I42" i="6"/>
  <c r="F53" i="8"/>
  <c r="E53" i="8"/>
  <c r="B12" i="12"/>
  <c r="H39" i="6"/>
  <c r="H40" i="6"/>
  <c r="D56" i="8"/>
  <c r="D43" i="8"/>
  <c r="C43" i="8"/>
  <c r="C56" i="8"/>
  <c r="D54" i="8"/>
  <c r="C54" i="8"/>
  <c r="I38" i="6"/>
  <c r="B6" i="12"/>
  <c r="B9" i="12"/>
  <c r="B3" i="12"/>
  <c r="C2" i="12"/>
  <c r="D2" i="12" s="1"/>
  <c r="E2" i="12" s="1"/>
  <c r="D3" i="11"/>
  <c r="C4" i="11"/>
  <c r="C9" i="11"/>
  <c r="B4" i="11"/>
  <c r="B9" i="11" s="1"/>
  <c r="C2" i="11"/>
  <c r="D2" i="11" s="1"/>
  <c r="E2" i="11" s="1"/>
  <c r="C2" i="10"/>
  <c r="C9" i="9"/>
  <c r="D2" i="9"/>
  <c r="C34" i="14" l="1"/>
  <c r="E42" i="14"/>
  <c r="D26" i="14"/>
  <c r="G8" i="14"/>
  <c r="F7" i="14"/>
  <c r="E7" i="14"/>
  <c r="D27" i="8"/>
  <c r="C27" i="8"/>
  <c r="B21" i="8"/>
  <c r="B20" i="8"/>
  <c r="B19" i="8"/>
  <c r="B18" i="8"/>
  <c r="B17" i="8"/>
  <c r="B105" i="7"/>
  <c r="D3" i="8"/>
  <c r="E3" i="8" s="1"/>
  <c r="F3" i="8" s="1"/>
  <c r="H8" i="14" l="1"/>
  <c r="G7" i="14"/>
  <c r="J38" i="6"/>
  <c r="H38" i="6"/>
  <c r="B100" i="7"/>
  <c r="B95" i="7"/>
  <c r="B90" i="7"/>
  <c r="J4" i="6"/>
  <c r="I4" i="6"/>
  <c r="B85" i="7"/>
  <c r="D21" i="7"/>
  <c r="D22" i="7"/>
  <c r="B80" i="7"/>
  <c r="B75" i="7"/>
  <c r="B70" i="7"/>
  <c r="B65" i="7"/>
  <c r="B60" i="7"/>
  <c r="B55" i="7"/>
  <c r="B50" i="7"/>
  <c r="F48" i="7"/>
  <c r="F47" i="7" s="1"/>
  <c r="C26" i="7"/>
  <c r="D31" i="2"/>
  <c r="C31" i="2"/>
  <c r="G16" i="6"/>
  <c r="D44" i="7"/>
  <c r="E11" i="7"/>
  <c r="F11" i="7" s="1"/>
  <c r="G38" i="6"/>
  <c r="G39" i="6"/>
  <c r="G40" i="6"/>
  <c r="G41" i="6"/>
  <c r="G42" i="6"/>
  <c r="G43" i="6"/>
  <c r="G44" i="6"/>
  <c r="G45" i="6"/>
  <c r="H41" i="6"/>
  <c r="H42" i="6"/>
  <c r="H43" i="6"/>
  <c r="H44" i="6"/>
  <c r="H45" i="6"/>
  <c r="H28" i="6"/>
  <c r="H29" i="6"/>
  <c r="H30" i="6"/>
  <c r="H31" i="6"/>
  <c r="H32" i="6"/>
  <c r="H33" i="6"/>
  <c r="H34" i="6"/>
  <c r="G28" i="6"/>
  <c r="G29" i="6"/>
  <c r="G30" i="6"/>
  <c r="G31" i="6"/>
  <c r="G32" i="6"/>
  <c r="G33" i="6"/>
  <c r="G34" i="6"/>
  <c r="H27" i="6"/>
  <c r="C5" i="12" s="1"/>
  <c r="G27" i="6"/>
  <c r="B5" i="12" s="1"/>
  <c r="B4" i="12" s="1"/>
  <c r="H20" i="6"/>
  <c r="G20" i="6"/>
  <c r="H14" i="6"/>
  <c r="H15" i="6"/>
  <c r="H16" i="6"/>
  <c r="H17" i="6"/>
  <c r="D4" i="9" s="1"/>
  <c r="H18" i="6"/>
  <c r="H19" i="6"/>
  <c r="G15" i="6"/>
  <c r="G17" i="6"/>
  <c r="C4" i="9" s="1"/>
  <c r="C6" i="9" s="1"/>
  <c r="D3" i="9" s="1"/>
  <c r="G18" i="6"/>
  <c r="G19" i="6"/>
  <c r="G14" i="6"/>
  <c r="H6" i="6"/>
  <c r="H7" i="6"/>
  <c r="H8" i="6"/>
  <c r="H9" i="6"/>
  <c r="H10" i="6"/>
  <c r="G7" i="6"/>
  <c r="G8" i="6"/>
  <c r="G9" i="6"/>
  <c r="G10" i="6"/>
  <c r="G6" i="6"/>
  <c r="D19" i="3"/>
  <c r="C19" i="3"/>
  <c r="C57" i="3"/>
  <c r="D40" i="7"/>
  <c r="D29" i="14" s="1"/>
  <c r="C40" i="7"/>
  <c r="C29" i="14" s="1"/>
  <c r="D38" i="7"/>
  <c r="E103" i="7" s="1"/>
  <c r="C38" i="7"/>
  <c r="C37" i="7"/>
  <c r="D37" i="7"/>
  <c r="D36" i="7"/>
  <c r="D93" i="7" s="1"/>
  <c r="D91" i="7" s="1"/>
  <c r="C36" i="7"/>
  <c r="C32" i="7"/>
  <c r="D32" i="7"/>
  <c r="D20" i="2"/>
  <c r="D22" i="2" s="1"/>
  <c r="D14" i="7"/>
  <c r="D15" i="7"/>
  <c r="D16" i="7"/>
  <c r="D17" i="7"/>
  <c r="D18" i="7"/>
  <c r="D19" i="7"/>
  <c r="D20" i="7"/>
  <c r="D23" i="7"/>
  <c r="D24" i="7"/>
  <c r="D25" i="7"/>
  <c r="D26" i="7"/>
  <c r="D27" i="7"/>
  <c r="D28" i="7"/>
  <c r="C14" i="7"/>
  <c r="C15" i="7"/>
  <c r="C16" i="7"/>
  <c r="C17" i="7"/>
  <c r="C18" i="7"/>
  <c r="C19" i="7"/>
  <c r="C20" i="7"/>
  <c r="C21" i="7"/>
  <c r="C22" i="7"/>
  <c r="C23" i="7"/>
  <c r="C24" i="7"/>
  <c r="C25" i="7"/>
  <c r="C27" i="7"/>
  <c r="C28" i="7"/>
  <c r="C12" i="7"/>
  <c r="D48" i="7" s="1"/>
  <c r="D57" i="3"/>
  <c r="D55" i="3"/>
  <c r="C55" i="3"/>
  <c r="D46" i="3"/>
  <c r="C46" i="3"/>
  <c r="D44" i="3"/>
  <c r="C44" i="3"/>
  <c r="D33" i="3"/>
  <c r="C33" i="3"/>
  <c r="D9" i="3"/>
  <c r="D21" i="3" s="1"/>
  <c r="C20" i="2"/>
  <c r="C22" i="2" s="1"/>
  <c r="C9" i="3"/>
  <c r="C93" i="7" l="1"/>
  <c r="C91" i="7" s="1"/>
  <c r="C72" i="7"/>
  <c r="C103" i="7"/>
  <c r="C101" i="7" s="1"/>
  <c r="F94" i="7"/>
  <c r="E93" i="7"/>
  <c r="E94" i="7" s="1"/>
  <c r="C98" i="7"/>
  <c r="C96" i="7" s="1"/>
  <c r="E102" i="7"/>
  <c r="E104" i="7"/>
  <c r="E101" i="7"/>
  <c r="E38" i="7" s="1"/>
  <c r="C88" i="7"/>
  <c r="C86" i="7" s="1"/>
  <c r="C12" i="9"/>
  <c r="C13" i="9" s="1"/>
  <c r="C27" i="14"/>
  <c r="C14" i="9"/>
  <c r="C99" i="7"/>
  <c r="C102" i="7"/>
  <c r="D14" i="9"/>
  <c r="D27" i="14"/>
  <c r="D12" i="9"/>
  <c r="D13" i="9" s="1"/>
  <c r="F91" i="7"/>
  <c r="F36" i="7" s="1"/>
  <c r="C97" i="7"/>
  <c r="C104" i="7"/>
  <c r="E91" i="7"/>
  <c r="E36" i="7" s="1"/>
  <c r="D98" i="7"/>
  <c r="D96" i="7" s="1"/>
  <c r="D104" i="7"/>
  <c r="C92" i="7"/>
  <c r="D72" i="7"/>
  <c r="C94" i="7"/>
  <c r="F98" i="7"/>
  <c r="F96" i="7" s="1"/>
  <c r="D102" i="7"/>
  <c r="C62" i="7"/>
  <c r="E98" i="7"/>
  <c r="D103" i="7"/>
  <c r="D101" i="7" s="1"/>
  <c r="C54" i="7"/>
  <c r="C9" i="14"/>
  <c r="C26" i="14" s="1"/>
  <c r="C28" i="14" s="1"/>
  <c r="D47" i="7"/>
  <c r="D94" i="7"/>
  <c r="D97" i="7"/>
  <c r="F103" i="7"/>
  <c r="D92" i="7"/>
  <c r="D99" i="7"/>
  <c r="F97" i="7"/>
  <c r="I8" i="14"/>
  <c r="I7" i="14" s="1"/>
  <c r="H7" i="14"/>
  <c r="B11" i="12"/>
  <c r="H46" i="6"/>
  <c r="D3" i="12"/>
  <c r="D7" i="12" s="1"/>
  <c r="D9" i="9"/>
  <c r="D6" i="9"/>
  <c r="E3" i="9" s="1"/>
  <c r="C11" i="12"/>
  <c r="G46" i="6"/>
  <c r="C3" i="12"/>
  <c r="C6" i="12" s="1"/>
  <c r="E92" i="7"/>
  <c r="F92" i="7"/>
  <c r="C84" i="7"/>
  <c r="D74" i="7"/>
  <c r="F49" i="7"/>
  <c r="F46" i="7" s="1"/>
  <c r="D52" i="7"/>
  <c r="C74" i="7"/>
  <c r="C73" i="7"/>
  <c r="C58" i="7"/>
  <c r="D62" i="7"/>
  <c r="C52" i="7"/>
  <c r="D59" i="7"/>
  <c r="C53" i="7"/>
  <c r="C51" i="7" s="1"/>
  <c r="E53" i="7"/>
  <c r="D58" i="7"/>
  <c r="D88" i="7"/>
  <c r="D64" i="7"/>
  <c r="F58" i="7"/>
  <c r="F59" i="7" s="1"/>
  <c r="F56" i="7" s="1"/>
  <c r="D54" i="7"/>
  <c r="D57" i="7"/>
  <c r="C89" i="7"/>
  <c r="C64" i="7"/>
  <c r="C83" i="7"/>
  <c r="C63" i="7"/>
  <c r="C61" i="7" s="1"/>
  <c r="E52" i="7"/>
  <c r="E58" i="7"/>
  <c r="C57" i="7"/>
  <c r="D63" i="7"/>
  <c r="D31" i="7"/>
  <c r="D49" i="7"/>
  <c r="D46" i="7" s="1"/>
  <c r="F63" i="7"/>
  <c r="C59" i="7"/>
  <c r="C76" i="7"/>
  <c r="E63" i="7"/>
  <c r="D87" i="7"/>
  <c r="E48" i="7"/>
  <c r="D53" i="7"/>
  <c r="D89" i="7"/>
  <c r="F54" i="7"/>
  <c r="F51" i="7" s="1"/>
  <c r="C87" i="7"/>
  <c r="C82" i="7"/>
  <c r="D83" i="7"/>
  <c r="D82" i="7"/>
  <c r="F83" i="7"/>
  <c r="D84" i="7"/>
  <c r="E83" i="7"/>
  <c r="C31" i="7"/>
  <c r="C34" i="7" s="1"/>
  <c r="C29" i="7"/>
  <c r="D33" i="2"/>
  <c r="D24" i="2"/>
  <c r="C33" i="2"/>
  <c r="C24" i="2"/>
  <c r="F44" i="7"/>
  <c r="E44" i="7"/>
  <c r="G48" i="6"/>
  <c r="G21" i="6"/>
  <c r="H35" i="6"/>
  <c r="H48" i="6" s="1"/>
  <c r="H11" i="6"/>
  <c r="H21" i="6"/>
  <c r="H23" i="6" s="1"/>
  <c r="G11" i="6"/>
  <c r="G35" i="6"/>
  <c r="G53" i="6"/>
  <c r="H52" i="6"/>
  <c r="G52" i="6"/>
  <c r="H51" i="6"/>
  <c r="G51" i="6"/>
  <c r="H56" i="6"/>
  <c r="H50" i="6"/>
  <c r="H53" i="6"/>
  <c r="G56" i="6"/>
  <c r="G50" i="6"/>
  <c r="H55" i="6"/>
  <c r="G55" i="6"/>
  <c r="H54" i="6"/>
  <c r="G54" i="6"/>
  <c r="C21" i="3"/>
  <c r="D29" i="7"/>
  <c r="C56" i="7" l="1"/>
  <c r="C71" i="7"/>
  <c r="E54" i="7"/>
  <c r="E51" i="7" s="1"/>
  <c r="F52" i="7"/>
  <c r="F14" i="7"/>
  <c r="D71" i="7"/>
  <c r="C66" i="7"/>
  <c r="D66" i="7"/>
  <c r="D51" i="7"/>
  <c r="D31" i="14"/>
  <c r="D28" i="14"/>
  <c r="E96" i="7"/>
  <c r="F57" i="7"/>
  <c r="D81" i="7"/>
  <c r="F102" i="7"/>
  <c r="F38" i="7"/>
  <c r="F104" i="7"/>
  <c r="D86" i="7"/>
  <c r="D56" i="7"/>
  <c r="D9" i="12"/>
  <c r="D13" i="12" s="1"/>
  <c r="E37" i="7"/>
  <c r="C4" i="12"/>
  <c r="C9" i="12"/>
  <c r="C12" i="12" s="1"/>
  <c r="B10" i="12"/>
  <c r="D76" i="7"/>
  <c r="D61" i="7"/>
  <c r="C81" i="7"/>
  <c r="E49" i="7"/>
  <c r="E46" i="7" s="1"/>
  <c r="E47" i="7"/>
  <c r="E16" i="7"/>
  <c r="E64" i="7"/>
  <c r="E61" i="7" s="1"/>
  <c r="E62" i="7"/>
  <c r="F16" i="7"/>
  <c r="F64" i="7"/>
  <c r="F61" i="7" s="1"/>
  <c r="F62" i="7"/>
  <c r="F22" i="7"/>
  <c r="F28" i="7"/>
  <c r="E23" i="7"/>
  <c r="F20" i="7"/>
  <c r="F26" i="7"/>
  <c r="E28" i="7"/>
  <c r="F23" i="7"/>
  <c r="E20" i="7"/>
  <c r="E24" i="7"/>
  <c r="E21" i="7"/>
  <c r="F21" i="7"/>
  <c r="F24" i="7"/>
  <c r="E25" i="7"/>
  <c r="F25" i="7"/>
  <c r="E22" i="7"/>
  <c r="E26" i="7"/>
  <c r="F15" i="7"/>
  <c r="E15" i="7"/>
  <c r="E59" i="7"/>
  <c r="E56" i="7" s="1"/>
  <c r="E57" i="7"/>
  <c r="E18" i="7"/>
  <c r="E15" i="14" s="1"/>
  <c r="F18" i="7"/>
  <c r="F15" i="14" s="1"/>
  <c r="E82" i="7"/>
  <c r="E84" i="7"/>
  <c r="E81" i="7" s="1"/>
  <c r="F82" i="7"/>
  <c r="F84" i="7"/>
  <c r="F81" i="7" s="1"/>
  <c r="H57" i="6"/>
  <c r="H59" i="6" s="1"/>
  <c r="G57" i="6"/>
  <c r="G59" i="6" s="1"/>
  <c r="G23" i="6"/>
  <c r="D34" i="7"/>
  <c r="E6" i="8" l="1"/>
  <c r="E25" i="8"/>
  <c r="C10" i="12"/>
  <c r="I30" i="6"/>
  <c r="J30" i="6" s="1"/>
  <c r="K30" i="6" s="1"/>
  <c r="G20" i="8" s="1"/>
  <c r="E4" i="9"/>
  <c r="I9" i="6"/>
  <c r="E17" i="8" s="1"/>
  <c r="D5" i="12"/>
  <c r="I8" i="6"/>
  <c r="J8" i="6" s="1"/>
  <c r="K8" i="6" s="1"/>
  <c r="L8" i="6" s="1"/>
  <c r="M8" i="6" s="1"/>
  <c r="I7" i="6"/>
  <c r="D39" i="7"/>
  <c r="C39" i="7"/>
  <c r="E72" i="7"/>
  <c r="F72" i="7"/>
  <c r="E74" i="7"/>
  <c r="E71" i="7" s="1"/>
  <c r="F74" i="7"/>
  <c r="F71" i="7" s="1"/>
  <c r="E32" i="14" l="1"/>
  <c r="E6" i="9"/>
  <c r="L30" i="6"/>
  <c r="H20" i="8" s="1"/>
  <c r="K35" i="6"/>
  <c r="G36" i="14" s="1"/>
  <c r="C41" i="7"/>
  <c r="B4" i="10" s="1"/>
  <c r="B6" i="10" s="1"/>
  <c r="B12" i="10" s="1"/>
  <c r="C105" i="7"/>
  <c r="D41" i="7"/>
  <c r="C4" i="10" s="1"/>
  <c r="C6" i="10" s="1"/>
  <c r="C12" i="10" s="1"/>
  <c r="D3" i="10" s="1"/>
  <c r="D105" i="7"/>
  <c r="E105" i="7" s="1"/>
  <c r="E20" i="8"/>
  <c r="E41" i="8"/>
  <c r="E43" i="8" s="1"/>
  <c r="D11" i="12"/>
  <c r="E3" i="12"/>
  <c r="E7" i="12" s="1"/>
  <c r="I46" i="6"/>
  <c r="E5" i="12"/>
  <c r="I35" i="6"/>
  <c r="E36" i="14" s="1"/>
  <c r="F4" i="9"/>
  <c r="F32" i="14" s="1"/>
  <c r="E18" i="8"/>
  <c r="F21" i="8"/>
  <c r="E21" i="8"/>
  <c r="F20" i="8"/>
  <c r="J9" i="6"/>
  <c r="J7" i="6"/>
  <c r="K48" i="6" l="1"/>
  <c r="G4" i="9"/>
  <c r="G32" i="14" s="1"/>
  <c r="M30" i="6"/>
  <c r="L35" i="6"/>
  <c r="H36" i="14" s="1"/>
  <c r="F17" i="8"/>
  <c r="K9" i="6"/>
  <c r="F18" i="8"/>
  <c r="K7" i="6"/>
  <c r="G18" i="8" s="1"/>
  <c r="Q5" i="17"/>
  <c r="G6" i="15" s="1"/>
  <c r="D6" i="15"/>
  <c r="F41" i="8"/>
  <c r="F43" i="8" s="1"/>
  <c r="E11" i="12"/>
  <c r="D10" i="12"/>
  <c r="E9" i="12"/>
  <c r="E13" i="12" s="1"/>
  <c r="I48" i="6"/>
  <c r="J46" i="6"/>
  <c r="J35" i="6"/>
  <c r="F36" i="14" s="1"/>
  <c r="L48" i="6" l="1"/>
  <c r="H4" i="9"/>
  <c r="H32" i="14" s="1"/>
  <c r="G41" i="8"/>
  <c r="G43" i="8" s="1"/>
  <c r="M35" i="6"/>
  <c r="I36" i="14" s="1"/>
  <c r="I20" i="8"/>
  <c r="L9" i="6"/>
  <c r="G17" i="8"/>
  <c r="L7" i="6"/>
  <c r="H18" i="8" s="1"/>
  <c r="D7" i="15"/>
  <c r="C30" i="14"/>
  <c r="D30" i="14"/>
  <c r="F37" i="7"/>
  <c r="F6" i="8" s="1"/>
  <c r="F25" i="8"/>
  <c r="E10" i="12"/>
  <c r="J48" i="6"/>
  <c r="I55" i="14" l="1"/>
  <c r="M48" i="6"/>
  <c r="I4" i="9"/>
  <c r="I32" i="14" s="1"/>
  <c r="H41" i="8"/>
  <c r="H43" i="8" s="1"/>
  <c r="M9" i="6"/>
  <c r="I17" i="8" s="1"/>
  <c r="H17" i="8"/>
  <c r="M7" i="6"/>
  <c r="C56" i="14"/>
  <c r="I41" i="8" l="1"/>
  <c r="I43" i="8" s="1"/>
  <c r="I18" i="8"/>
  <c r="F3" i="9"/>
  <c r="F5" i="9" s="1"/>
  <c r="F14" i="9" s="1"/>
  <c r="F32" i="7" s="1"/>
  <c r="I17" i="6"/>
  <c r="D34" i="14" l="1"/>
  <c r="D33" i="14" s="1"/>
  <c r="D37" i="14" s="1"/>
  <c r="F6" i="9"/>
  <c r="J17" i="6" l="1"/>
  <c r="G3" i="9"/>
  <c r="G5" i="9" s="1"/>
  <c r="G14" i="9" s="1"/>
  <c r="G32" i="7" s="1"/>
  <c r="G88" i="7" l="1"/>
  <c r="G89" i="7" s="1"/>
  <c r="G6" i="9"/>
  <c r="G86" i="7" l="1"/>
  <c r="G87" i="7"/>
  <c r="H3" i="9"/>
  <c r="H5" i="9" s="1"/>
  <c r="H14" i="9" s="1"/>
  <c r="H32" i="7" s="1"/>
  <c r="K17" i="6"/>
  <c r="H88" i="7" l="1"/>
  <c r="H89" i="7" l="1"/>
  <c r="H86" i="7"/>
  <c r="H87" i="7"/>
  <c r="H6" i="9"/>
  <c r="L17" i="6" s="1"/>
  <c r="C69" i="14"/>
  <c r="I3" i="9" l="1"/>
  <c r="I5" i="9" s="1"/>
  <c r="I14" i="9" s="1"/>
  <c r="I32" i="7" s="1"/>
  <c r="I88" i="7" l="1"/>
  <c r="I89" i="7" s="1"/>
  <c r="I6" i="9"/>
  <c r="M17" i="6" s="1"/>
  <c r="I18" i="6"/>
  <c r="J18" i="6" s="1"/>
  <c r="E5" i="8"/>
  <c r="E86" i="7"/>
  <c r="E88" i="7"/>
  <c r="E89" i="7" s="1"/>
  <c r="E27" i="14"/>
  <c r="E31" i="14" s="1"/>
  <c r="F27" i="14"/>
  <c r="I86" i="7" l="1"/>
  <c r="I87" i="7"/>
  <c r="I21" i="6"/>
  <c r="E87" i="7"/>
  <c r="F88" i="7"/>
  <c r="J21" i="6"/>
  <c r="K18" i="6"/>
  <c r="F5" i="8"/>
  <c r="F31" i="14"/>
  <c r="F86" i="7" l="1"/>
  <c r="F87" i="7"/>
  <c r="F89" i="7"/>
  <c r="K21" i="6"/>
  <c r="G5" i="8"/>
  <c r="G27" i="14"/>
  <c r="G31" i="14" l="1"/>
  <c r="H27" i="14"/>
  <c r="H5" i="8"/>
  <c r="L18" i="6"/>
  <c r="H31" i="14" l="1"/>
  <c r="I27" i="14"/>
  <c r="I5" i="8"/>
  <c r="M18" i="6"/>
  <c r="M21" i="6" s="1"/>
  <c r="L21" i="6"/>
  <c r="I31" i="14" l="1"/>
  <c r="I6" i="6" l="1"/>
  <c r="J6" i="6"/>
  <c r="K6" i="6"/>
  <c r="L6" i="6"/>
  <c r="M6" i="6"/>
  <c r="I11" i="6"/>
  <c r="J11" i="6"/>
  <c r="K11" i="6"/>
  <c r="L11" i="6"/>
  <c r="M11" i="6"/>
  <c r="I23" i="6"/>
  <c r="J23" i="6"/>
  <c r="K23" i="6"/>
  <c r="L23" i="6"/>
  <c r="M23" i="6"/>
  <c r="I54" i="6"/>
  <c r="J54" i="6"/>
  <c r="K54" i="6"/>
  <c r="L54" i="6"/>
  <c r="M54" i="6"/>
  <c r="I56" i="6"/>
  <c r="J56" i="6"/>
  <c r="K56" i="6"/>
  <c r="L56" i="6"/>
  <c r="M56" i="6"/>
  <c r="I57" i="6"/>
  <c r="J57" i="6"/>
  <c r="K57" i="6"/>
  <c r="L57" i="6"/>
  <c r="M57" i="6"/>
  <c r="I59" i="6"/>
  <c r="J59" i="6"/>
  <c r="K59" i="6"/>
  <c r="L59" i="6"/>
  <c r="M59" i="6"/>
  <c r="E4" i="8"/>
  <c r="F4" i="8"/>
  <c r="G4" i="8"/>
  <c r="H4" i="8"/>
  <c r="I4" i="8"/>
  <c r="E24" i="8"/>
  <c r="F24" i="8"/>
  <c r="G24" i="8"/>
  <c r="H24" i="8"/>
  <c r="I24" i="8"/>
  <c r="E27" i="8"/>
  <c r="F27" i="8"/>
  <c r="G27" i="8"/>
  <c r="H27" i="8"/>
  <c r="I27" i="8"/>
  <c r="E50" i="8"/>
  <c r="F50" i="8"/>
  <c r="G50" i="8"/>
  <c r="H50" i="8"/>
  <c r="I50" i="8"/>
  <c r="E51" i="8"/>
  <c r="F51" i="8"/>
  <c r="G51" i="8"/>
  <c r="H51" i="8"/>
  <c r="I51" i="8"/>
  <c r="E54" i="8"/>
  <c r="F54" i="8"/>
  <c r="G54" i="8"/>
  <c r="H54" i="8"/>
  <c r="I54" i="8"/>
  <c r="F55" i="8"/>
  <c r="G55" i="8"/>
  <c r="H55" i="8"/>
  <c r="I55" i="8"/>
  <c r="E56" i="8"/>
  <c r="F56" i="8"/>
  <c r="G56" i="8"/>
  <c r="H56" i="8"/>
  <c r="I56" i="8"/>
  <c r="E3" i="11"/>
  <c r="F3" i="11"/>
  <c r="G3" i="11"/>
  <c r="H3" i="11"/>
  <c r="D4" i="11"/>
  <c r="E4" i="11"/>
  <c r="F4" i="11"/>
  <c r="G4" i="11"/>
  <c r="H4" i="11"/>
  <c r="D6" i="11"/>
  <c r="E6" i="11"/>
  <c r="F6" i="11"/>
  <c r="G6" i="11"/>
  <c r="H6" i="11"/>
  <c r="D9" i="11"/>
  <c r="E9" i="11"/>
  <c r="F9" i="11"/>
  <c r="G9" i="11"/>
  <c r="H9" i="11"/>
  <c r="E17" i="7"/>
  <c r="F17" i="7"/>
  <c r="G17" i="7"/>
  <c r="H17" i="7"/>
  <c r="I17" i="7"/>
  <c r="E19" i="7"/>
  <c r="F19" i="7"/>
  <c r="G19" i="7"/>
  <c r="H19" i="7"/>
  <c r="I19" i="7"/>
  <c r="E29" i="7"/>
  <c r="F29" i="7"/>
  <c r="G29" i="7"/>
  <c r="H29" i="7"/>
  <c r="I29" i="7"/>
  <c r="E31" i="7"/>
  <c r="F31" i="7"/>
  <c r="G31" i="7"/>
  <c r="H31" i="7"/>
  <c r="I31" i="7"/>
  <c r="E34" i="7"/>
  <c r="F34" i="7"/>
  <c r="G34" i="7"/>
  <c r="H34" i="7"/>
  <c r="I34" i="7"/>
  <c r="E39" i="7"/>
  <c r="F39" i="7"/>
  <c r="G39" i="7"/>
  <c r="H39" i="7"/>
  <c r="I39" i="7"/>
  <c r="E40" i="7"/>
  <c r="F40" i="7"/>
  <c r="G40" i="7"/>
  <c r="H40" i="7"/>
  <c r="I40" i="7"/>
  <c r="E41" i="7"/>
  <c r="F41" i="7"/>
  <c r="G41" i="7"/>
  <c r="H41" i="7"/>
  <c r="I41" i="7"/>
  <c r="E66" i="7"/>
  <c r="F66" i="7"/>
  <c r="G66" i="7"/>
  <c r="H66" i="7"/>
  <c r="I66" i="7"/>
  <c r="E67" i="7"/>
  <c r="F67" i="7"/>
  <c r="G67" i="7"/>
  <c r="H67" i="7"/>
  <c r="I67" i="7"/>
  <c r="E68" i="7"/>
  <c r="F68" i="7"/>
  <c r="G68" i="7"/>
  <c r="H68" i="7"/>
  <c r="I68" i="7"/>
  <c r="E69" i="7"/>
  <c r="F69" i="7"/>
  <c r="G69" i="7"/>
  <c r="H69" i="7"/>
  <c r="I69" i="7"/>
  <c r="E76" i="7"/>
  <c r="F76" i="7"/>
  <c r="G76" i="7"/>
  <c r="H76" i="7"/>
  <c r="I76" i="7"/>
  <c r="E77" i="7"/>
  <c r="F77" i="7"/>
  <c r="G77" i="7"/>
  <c r="H77" i="7"/>
  <c r="I77" i="7"/>
  <c r="E78" i="7"/>
  <c r="F78" i="7"/>
  <c r="G78" i="7"/>
  <c r="H78" i="7"/>
  <c r="I78" i="7"/>
  <c r="E79" i="7"/>
  <c r="F79" i="7"/>
  <c r="G79" i="7"/>
  <c r="H79" i="7"/>
  <c r="I79" i="7"/>
  <c r="E3" i="10"/>
  <c r="F3" i="10"/>
  <c r="G3" i="10"/>
  <c r="H3" i="10"/>
  <c r="D4" i="10"/>
  <c r="E4" i="10"/>
  <c r="F4" i="10"/>
  <c r="G4" i="10"/>
  <c r="H4" i="10"/>
  <c r="D5" i="10"/>
  <c r="E5" i="10"/>
  <c r="F5" i="10"/>
  <c r="G5" i="10"/>
  <c r="H5" i="10"/>
  <c r="D6" i="10"/>
  <c r="E6" i="10"/>
  <c r="F6" i="10"/>
  <c r="G6" i="10"/>
  <c r="H6" i="10"/>
  <c r="D11" i="10"/>
  <c r="E11" i="10"/>
  <c r="F11" i="10"/>
  <c r="G11" i="10"/>
  <c r="H11" i="10"/>
  <c r="D12" i="10"/>
  <c r="E12" i="10"/>
  <c r="F12" i="10"/>
  <c r="G12" i="10"/>
  <c r="H12" i="10"/>
  <c r="E14" i="14"/>
  <c r="F14" i="14"/>
  <c r="G14" i="14"/>
  <c r="H14" i="14"/>
  <c r="I14" i="14"/>
  <c r="E16" i="14"/>
  <c r="F16" i="14"/>
  <c r="G16" i="14"/>
  <c r="H16" i="14"/>
  <c r="I16" i="14"/>
  <c r="E26" i="14"/>
  <c r="F26" i="14"/>
  <c r="G26" i="14"/>
  <c r="H26" i="14"/>
  <c r="I26" i="14"/>
  <c r="E28" i="14"/>
  <c r="F28" i="14"/>
  <c r="G28" i="14"/>
  <c r="H28" i="14"/>
  <c r="I28" i="14"/>
  <c r="E29" i="14"/>
  <c r="F29" i="14"/>
  <c r="G29" i="14"/>
  <c r="H29" i="14"/>
  <c r="I29" i="14"/>
  <c r="E30" i="14"/>
  <c r="F30" i="14"/>
  <c r="G30" i="14"/>
  <c r="H30" i="14"/>
  <c r="I30" i="14"/>
  <c r="E33" i="14"/>
  <c r="F33" i="14"/>
  <c r="G33" i="14"/>
  <c r="H33" i="14"/>
  <c r="I33" i="14"/>
  <c r="E34" i="14"/>
  <c r="F34" i="14"/>
  <c r="G34" i="14"/>
  <c r="H34" i="14"/>
  <c r="I34" i="14"/>
  <c r="E35" i="14"/>
  <c r="F35" i="14"/>
  <c r="G35" i="14"/>
  <c r="H35" i="14"/>
  <c r="I35" i="14"/>
  <c r="E37" i="14"/>
  <c r="F37" i="14"/>
  <c r="G37" i="14"/>
  <c r="H37" i="14"/>
  <c r="I37" i="14"/>
  <c r="E44" i="14"/>
  <c r="F44" i="14"/>
  <c r="G44" i="14"/>
  <c r="H44" i="14"/>
  <c r="I44" i="14"/>
  <c r="E46" i="14"/>
  <c r="F46" i="14"/>
  <c r="G46" i="14"/>
  <c r="H46" i="14"/>
  <c r="I46" i="14"/>
  <c r="C48" i="14"/>
  <c r="C53" i="14"/>
  <c r="I53" i="14"/>
  <c r="C54" i="14"/>
  <c r="I56" i="14"/>
  <c r="C57" i="14"/>
  <c r="I57" i="14"/>
  <c r="C58" i="14"/>
  <c r="I58" i="14"/>
  <c r="C59" i="14"/>
  <c r="I59" i="14"/>
  <c r="C62" i="14"/>
  <c r="C68" i="14"/>
  <c r="C70" i="14"/>
  <c r="B7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ChengJing</author>
  </authors>
  <commentList>
    <comment ref="E9" authorId="0" shapeId="0" xr:uid="{CB21A3DA-76BA-41A4-8428-F99752BAD126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From Yahoo finance
</t>
        </r>
      </text>
    </comment>
    <comment ref="I54" authorId="0" shapeId="0" xr:uid="{C0A60EA1-3D46-45BF-80AB-3B82A0490366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assumption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ChengJing</author>
  </authors>
  <commentList>
    <comment ref="F3" authorId="0" shapeId="0" xr:uid="{E0A6E74B-B857-4AF0-86CA-7A1747244DA2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FROM 31 March 2026 as financial statements from 31 december is not avalailable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ChengJing</author>
  </authors>
  <commentList>
    <comment ref="A2" authorId="0" shapeId="0" xr:uid="{8C3BD2F1-E60A-4EEB-9C23-E5B0ACD259D7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imported from investing.com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ChengJing</author>
  </authors>
  <commentList>
    <comment ref="E12" authorId="0" shapeId="0" xr:uid="{0BECFF53-6FC5-4E94-B67C-A7D3A53537F3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From Yahoo finance
</t>
        </r>
      </text>
    </comment>
    <comment ref="E47" authorId="0" shapeId="0" xr:uid="{BC904C77-913C-4958-B1F9-2D8DD818FC5B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hardcoded value from yahoofinance
</t>
        </r>
      </text>
    </comment>
    <comment ref="G48" authorId="0" shapeId="0" xr:uid="{8EA8ED7E-92CF-49D4-92F4-EA66695116C2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these assumptions are made on the basis that singapore's gdp growth remains constant 4-5%, as it would be unlikely for revenue to experience massive spikes during stable periods that surpass the GDP growth rate
</t>
        </r>
      </text>
    </comment>
    <comment ref="E52" authorId="0" shapeId="0" xr:uid="{D4CE894F-573E-49EA-8389-DB0C7BCE45F0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hardcoded value from yahoofinance
</t>
        </r>
      </text>
    </comment>
    <comment ref="E54" authorId="0" shapeId="0" xr:uid="{5B5E6485-EE0B-409F-8FBC-B0BBA0B934AA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hardcoded value from yahoofinance
</t>
        </r>
      </text>
    </comment>
    <comment ref="E57" authorId="0" shapeId="0" xr:uid="{FDDAC95A-D1CA-4AB0-B212-524439BF0C88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hardcoded value from yahoofinance
</t>
        </r>
      </text>
    </comment>
    <comment ref="E59" authorId="0" shapeId="0" xr:uid="{EC2FC287-6017-42BE-BD52-821DDF77BFBF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hardcoded value from yahoofinance
</t>
        </r>
      </text>
    </comment>
    <comment ref="E62" authorId="0" shapeId="0" xr:uid="{61B03C8A-CD7E-4EAD-BBF7-C6E6E26B1439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hardcoded value from yahoofinance
</t>
        </r>
      </text>
    </comment>
    <comment ref="E64" authorId="0" shapeId="0" xr:uid="{0DDC8ABA-AD48-4E70-B762-E30D6AB862ED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hardcoded value from yahoofinance
</t>
        </r>
      </text>
    </comment>
    <comment ref="E67" authorId="0" shapeId="0" xr:uid="{9A14FC3C-A575-4F11-9FFE-CE11B0706F79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hardcoded value from yahoofinance
</t>
        </r>
      </text>
    </comment>
    <comment ref="E69" authorId="0" shapeId="0" xr:uid="{D38B4643-1FFF-4C0C-85D7-E7FA3CDB01AF}">
      <text>
        <r>
          <rPr>
            <b/>
            <sz val="9"/>
            <color indexed="81"/>
            <rFont val="Tahoma"/>
            <family val="2"/>
          </rPr>
          <t>ChengJing:</t>
        </r>
        <r>
          <rPr>
            <sz val="9"/>
            <color indexed="81"/>
            <rFont val="Tahoma"/>
            <family val="2"/>
          </rPr>
          <t xml:space="preserve">
hardcoded value from yahoofinance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DE2F2B-EB23-476A-926D-E5E148D07F7A}" keepAlive="1" name="Query - Table162 (Page 119)" description="Connection to the 'Table162 (Page 119)' query in the workbook." type="5" refreshedVersion="0" background="1">
    <dbPr connection="Provider=Microsoft.Mashup.OleDb.1;Data Source=$Workbook$;Location=&quot;Table162 (Page 119)&quot;;Extended Properties=&quot;&quot;" command="SELECT * FROM [Table162 (Page 119)]"/>
  </connection>
</connections>
</file>

<file path=xl/sharedStrings.xml><?xml version="1.0" encoding="utf-8"?>
<sst xmlns="http://schemas.openxmlformats.org/spreadsheetml/2006/main" count="795" uniqueCount="571">
  <si>
    <t>Net income</t>
  </si>
  <si>
    <t>Income Statement</t>
  </si>
  <si>
    <t>Current assets:</t>
  </si>
  <si>
    <t>Inventories</t>
  </si>
  <si>
    <t>Total current assets</t>
  </si>
  <si>
    <t>Non-current assets:</t>
  </si>
  <si>
    <t>Total assets</t>
  </si>
  <si>
    <t>Total current liabilities</t>
  </si>
  <si>
    <t>Total non-current liabilities</t>
  </si>
  <si>
    <t xml:space="preserve"> </t>
  </si>
  <si>
    <t>Balance Sheet</t>
  </si>
  <si>
    <t>Net Sales</t>
  </si>
  <si>
    <t>Operating expenses</t>
  </si>
  <si>
    <t> </t>
  </si>
  <si>
    <t>–</t>
  </si>
  <si>
    <t>Staff costs</t>
  </si>
  <si>
    <t>Contract services and subcontractor costs</t>
  </si>
  <si>
    <t>Fuel and electricity costs</t>
  </si>
  <si>
    <t>Depreciation and amortisation</t>
  </si>
  <si>
    <t>Repairs and maintenance costs</t>
  </si>
  <si>
    <t>Materials and consumables costs</t>
  </si>
  <si>
    <t>Insurance premiums and accident claims</t>
  </si>
  <si>
    <t>Premises costs</t>
  </si>
  <si>
    <t>Road tax and licence fees</t>
  </si>
  <si>
    <t>Utilities,It and communication costs</t>
  </si>
  <si>
    <t>Taxi drivers’ benefits</t>
  </si>
  <si>
    <t>Advertising production and promotion costs</t>
  </si>
  <si>
    <t>Professional fees</t>
  </si>
  <si>
    <t>Impairment of good will</t>
  </si>
  <si>
    <t>Net gain on disposal of vehicles,premises and equipment</t>
  </si>
  <si>
    <t>Other operating costs</t>
  </si>
  <si>
    <t>Total operating costs</t>
  </si>
  <si>
    <t>Investments income</t>
  </si>
  <si>
    <t>Other income/(costs)</t>
  </si>
  <si>
    <t>Finance costs</t>
  </si>
  <si>
    <t>Share of results of associates and joint ventures</t>
  </si>
  <si>
    <t>Taxation</t>
  </si>
  <si>
    <t>profit after taxation</t>
  </si>
  <si>
    <t>Prepayments</t>
  </si>
  <si>
    <t>Short-term deposits and bank balances</t>
  </si>
  <si>
    <t>Trade and other receivables</t>
  </si>
  <si>
    <t>Assets held for sale</t>
  </si>
  <si>
    <t>Investments</t>
  </si>
  <si>
    <t>Goodwill</t>
  </si>
  <si>
    <t>Total Non-current Assets</t>
  </si>
  <si>
    <t>Current liabilities</t>
  </si>
  <si>
    <t>Borrowings</t>
  </si>
  <si>
    <t>Non-current liabilities</t>
  </si>
  <si>
    <t>Total liabilites</t>
  </si>
  <si>
    <t>Equity attributable to shareholders of the Company</t>
  </si>
  <si>
    <t>Total equity</t>
  </si>
  <si>
    <t>Total liabilities and capital</t>
  </si>
  <si>
    <t>Company name</t>
  </si>
  <si>
    <t>ticker</t>
  </si>
  <si>
    <t>Three sheet statement model ComfortDelgro</t>
  </si>
  <si>
    <t>Circuit break(0=on, 1=off)</t>
  </si>
  <si>
    <t>Fiscal year end date</t>
  </si>
  <si>
    <t xml:space="preserve">ComfortDelgro </t>
  </si>
  <si>
    <t>C52</t>
  </si>
  <si>
    <t>Income statement</t>
  </si>
  <si>
    <t>SGD in millions</t>
  </si>
  <si>
    <t>EBITDA</t>
  </si>
  <si>
    <t>EBIT</t>
  </si>
  <si>
    <t>EBT</t>
  </si>
  <si>
    <t>SGD in million</t>
  </si>
  <si>
    <t>Associates and joint ventures</t>
  </si>
  <si>
    <t>Vehicles, premises and equipment</t>
  </si>
  <si>
    <t>Intangible assets</t>
  </si>
  <si>
    <t>Deferred tax assets</t>
  </si>
  <si>
    <t>Lease liabilities from financial institutions</t>
  </si>
  <si>
    <t>Lease liabilities</t>
  </si>
  <si>
    <t>Trade and other payables</t>
  </si>
  <si>
    <t>Deferred grants</t>
  </si>
  <si>
    <t>Fuel price equalisation account</t>
  </si>
  <si>
    <t>Provision for accident claims</t>
  </si>
  <si>
    <t>Income tax payable</t>
  </si>
  <si>
    <t>Provision for service benefits and long service award</t>
  </si>
  <si>
    <t>Other liabilities</t>
  </si>
  <si>
    <t>Deferred tax liabilities</t>
  </si>
  <si>
    <t>Share capital</t>
  </si>
  <si>
    <t>Treasury shares</t>
  </si>
  <si>
    <t>Other reserves</t>
  </si>
  <si>
    <t>Foreign currency translation reserve</t>
  </si>
  <si>
    <t>Retained earnings</t>
  </si>
  <si>
    <t>Non-controlling interests</t>
  </si>
  <si>
    <t xml:space="preserve"> Borrowings</t>
  </si>
  <si>
    <t xml:space="preserve"> Lease liabilities from financial institutions</t>
  </si>
  <si>
    <t xml:space="preserve"> Lease liabilities</t>
  </si>
  <si>
    <t xml:space="preserve"> Deferred grants</t>
  </si>
  <si>
    <t xml:space="preserve"> Fuel price equalisation account</t>
  </si>
  <si>
    <t xml:space="preserve"> borrowings</t>
  </si>
  <si>
    <t>Scenario assumptions</t>
  </si>
  <si>
    <t>Revenue growth</t>
  </si>
  <si>
    <t>selected case</t>
  </si>
  <si>
    <t>Best case</t>
  </si>
  <si>
    <t>Base case</t>
  </si>
  <si>
    <t>worst case</t>
  </si>
  <si>
    <t xml:space="preserve"> Trade and other receivables</t>
  </si>
  <si>
    <t>variance</t>
  </si>
  <si>
    <t>Cash Flow Statement</t>
  </si>
  <si>
    <t>Forecast</t>
  </si>
  <si>
    <t>$ in millions</t>
  </si>
  <si>
    <t>Operating Cash Flow</t>
  </si>
  <si>
    <t>Investing Cash Flow</t>
  </si>
  <si>
    <t>Financing Cash Flow</t>
  </si>
  <si>
    <t>Net Cash Flow</t>
  </si>
  <si>
    <t>Others</t>
  </si>
  <si>
    <t>Profit before Taxation</t>
  </si>
  <si>
    <t>Dividend income</t>
  </si>
  <si>
    <t>Net gain on disposal of assets held for sale</t>
  </si>
  <si>
    <t>Net gain on disposal of subsidiaries</t>
  </si>
  <si>
    <t>Net gain on disposal of investments</t>
  </si>
  <si>
    <t>Impairment of goodwill</t>
  </si>
  <si>
    <t>Allowance for inventory obsolescence</t>
  </si>
  <si>
    <t>Allowance for/(reversal of) expected credit losses</t>
  </si>
  <si>
    <t>Payments of service benefits and long service awards</t>
  </si>
  <si>
    <t>Payments of accident claims</t>
  </si>
  <si>
    <t xml:space="preserve">Income tax paid </t>
  </si>
  <si>
    <t xml:space="preserve">Interest paid arising from leases </t>
  </si>
  <si>
    <t>Purchases of vehicles, premises and equipment</t>
  </si>
  <si>
    <t>Less: Proceeds from disposal of vehicles, premises and equipment</t>
  </si>
  <si>
    <t>Cash payments on purchase of vehicles, premises and equipment</t>
  </si>
  <si>
    <t>Proceeds from disposal of asset held for sale</t>
  </si>
  <si>
    <t>Proceeds from disposal of subsidiaries</t>
  </si>
  <si>
    <t>Proceeds from disposal of investments</t>
  </si>
  <si>
    <t>Investments made</t>
  </si>
  <si>
    <t>Additions to intangible assets</t>
  </si>
  <si>
    <t>Acquisition of business/ subsidiaries, net of cash</t>
  </si>
  <si>
    <t>Increase in investment in associates and joint ventures</t>
  </si>
  <si>
    <t>Interest received</t>
  </si>
  <si>
    <t>Dividend received from associate/ investments</t>
  </si>
  <si>
    <t>Fixed Assets Schedule</t>
  </si>
  <si>
    <t>Actuals</t>
  </si>
  <si>
    <t>Beginning PP&amp;E</t>
  </si>
  <si>
    <t>Capital Expenditures</t>
  </si>
  <si>
    <t>Depreciation related to PPE</t>
  </si>
  <si>
    <t>Ending PP&amp;E</t>
  </si>
  <si>
    <t>Fixed Assets Metrics:</t>
  </si>
  <si>
    <t>Total Depreciation &amp; Amortization</t>
  </si>
  <si>
    <t>D&amp;A not related to PPE</t>
  </si>
  <si>
    <t>D&amp;A not related to PPE as % of Revenue</t>
  </si>
  <si>
    <t>Total D&amp;A</t>
  </si>
  <si>
    <t>D&amp;A related to PP&amp;E as % of beginning PP&amp;E</t>
  </si>
  <si>
    <t>Retained earningss Schedule</t>
  </si>
  <si>
    <t>Beginning retained earnings</t>
  </si>
  <si>
    <t>Ending retained earnings</t>
  </si>
  <si>
    <t>Dividends paid</t>
  </si>
  <si>
    <t xml:space="preserve">dividends received </t>
  </si>
  <si>
    <t xml:space="preserve">transfer of fair velue reserves </t>
  </si>
  <si>
    <t>transfer of asset revaluation reserve on disposal</t>
  </si>
  <si>
    <t>less:non controlling interests</t>
  </si>
  <si>
    <t>portion of net income transferred to retained earnings account</t>
  </si>
  <si>
    <t>other reserves</t>
  </si>
  <si>
    <t>Non controlling interests  Schedule</t>
  </si>
  <si>
    <t xml:space="preserve">Beginning non-controlling interests </t>
  </si>
  <si>
    <t>less:payment of dividends</t>
  </si>
  <si>
    <t>other comprehensive income/(loss)</t>
  </si>
  <si>
    <t>Acquisition of non controlling interests</t>
  </si>
  <si>
    <t xml:space="preserve">ending non controlling interests  </t>
  </si>
  <si>
    <t xml:space="preserve">New loans raised </t>
  </si>
  <si>
    <t>Repayment of borrowings and lease liabilities from financial institutions</t>
  </si>
  <si>
    <t>Repayment of lease liabilities</t>
  </si>
  <si>
    <t>Acquisition of non-controlling interests</t>
  </si>
  <si>
    <t>Capital contribution from non-controlling shareholder of a subsidiary</t>
  </si>
  <si>
    <t>Dividends paid to shareholders of the Company</t>
  </si>
  <si>
    <t>Dividends paid to non-controlling shareholders of subsidiaries</t>
  </si>
  <si>
    <t>Purchase of treasury shares</t>
  </si>
  <si>
    <t>Interest paid</t>
  </si>
  <si>
    <t>Debt Schedule</t>
  </si>
  <si>
    <t>Beginning borrowings</t>
  </si>
  <si>
    <t>additions/(repayments)</t>
  </si>
  <si>
    <t>ending borrowings</t>
  </si>
  <si>
    <t>Implied interest rate</t>
  </si>
  <si>
    <t>loan interest expense</t>
  </si>
  <si>
    <t>Beginning lease liabilities</t>
  </si>
  <si>
    <t>ending lease liabilities</t>
  </si>
  <si>
    <t>lease liabilities interest expense</t>
  </si>
  <si>
    <t>beginning cash flow</t>
  </si>
  <si>
    <t>Interest income</t>
  </si>
  <si>
    <t>capital expenditures</t>
  </si>
  <si>
    <t>Share Price Date</t>
  </si>
  <si>
    <t>Unlevered Free Cash Flow (UFCF) in mm</t>
  </si>
  <si>
    <t>Fiscal Year</t>
  </si>
  <si>
    <t>Fiscal Year End Date</t>
  </si>
  <si>
    <t>Revenue</t>
  </si>
  <si>
    <t>Operating Expenses:</t>
  </si>
  <si>
    <t>Depreciation and Amortization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</si>
  <si>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</si>
  <si>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</si>
  <si>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</si>
  <si>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</si>
  <si>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</si>
  <si>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</si>
  <si>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</si>
  <si>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</si>
  <si>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Comfortdelgro Share Price</t>
  </si>
  <si>
    <t>UFCF</t>
  </si>
  <si>
    <t>Period</t>
  </si>
  <si>
    <t>PV of UFCF</t>
  </si>
  <si>
    <t>Weighted Average Cost of Capital</t>
  </si>
  <si>
    <t>Cost of Debt</t>
  </si>
  <si>
    <t>Cost of Equity</t>
  </si>
  <si>
    <t>Cost of debt</t>
  </si>
  <si>
    <t>Risk free rate</t>
  </si>
  <si>
    <t>Tax Rate</t>
  </si>
  <si>
    <t>Beta</t>
  </si>
  <si>
    <t>After tax cost of debt</t>
  </si>
  <si>
    <t>Market risk premium</t>
  </si>
  <si>
    <t>Cost of equity</t>
  </si>
  <si>
    <t>Capital Structure Weights</t>
  </si>
  <si>
    <t>Equity</t>
  </si>
  <si>
    <t>Debt</t>
  </si>
  <si>
    <t>Weighted Average Cost of Capital (WACC)</t>
  </si>
  <si>
    <t>total</t>
  </si>
  <si>
    <t>Equity weight</t>
  </si>
  <si>
    <t>debt weight</t>
  </si>
  <si>
    <t>Sum of pv</t>
  </si>
  <si>
    <t>Terminal Value Exit Multiple Method</t>
  </si>
  <si>
    <t>Terminal Value Growth Perpetuity Method</t>
  </si>
  <si>
    <t>Sum of PV of FCF</t>
  </si>
  <si>
    <t>Exit EBITDA</t>
  </si>
  <si>
    <t>Growth Rate</t>
  </si>
  <si>
    <t>Exit Multiple (EV / EBITDA)</t>
  </si>
  <si>
    <t>WACC</t>
  </si>
  <si>
    <t>Terminal Year FCF</t>
  </si>
  <si>
    <t>Terminal Value</t>
  </si>
  <si>
    <t>PV of Terminal Value</t>
  </si>
  <si>
    <t>Enterprise Value</t>
  </si>
  <si>
    <t>Company Names</t>
  </si>
  <si>
    <t>EV/ EBITDA</t>
  </si>
  <si>
    <t>Average EV/ EBITDA</t>
  </si>
  <si>
    <t>Median EV/ EBITDA</t>
  </si>
  <si>
    <t>Mobico Group plc</t>
  </si>
  <si>
    <t>FirstGroup plc</t>
  </si>
  <si>
    <t>kelsian group limited</t>
  </si>
  <si>
    <t>EV</t>
  </si>
  <si>
    <t>Enterprise Value to Equity Value</t>
  </si>
  <si>
    <t>+ Cash &amp; Cash Equivalents</t>
  </si>
  <si>
    <t>- Debt (ST + LT)</t>
  </si>
  <si>
    <t>- Minority Interest</t>
  </si>
  <si>
    <t>- Preferred Stock</t>
  </si>
  <si>
    <t>- Convertible Debt</t>
  </si>
  <si>
    <t>Equity Value</t>
  </si>
  <si>
    <t>Shares Outstanding</t>
  </si>
  <si>
    <t>Implied Share Price</t>
  </si>
  <si>
    <t xml:space="preserve">Basic shares oustanding </t>
  </si>
  <si>
    <t>options</t>
  </si>
  <si>
    <t>convertibles</t>
  </si>
  <si>
    <t>treasury shares</t>
  </si>
  <si>
    <t>Sensitivity table</t>
  </si>
  <si>
    <t>STI:</t>
  </si>
  <si>
    <t>Date</t>
  </si>
  <si>
    <t>Price</t>
  </si>
  <si>
    <t>Open</t>
  </si>
  <si>
    <t>High</t>
  </si>
  <si>
    <t>Low</t>
  </si>
  <si>
    <t>Vol.</t>
  </si>
  <si>
    <t>Change %</t>
  </si>
  <si>
    <t>4.86B</t>
  </si>
  <si>
    <t>4.26B</t>
  </si>
  <si>
    <t>6.64B</t>
  </si>
  <si>
    <t>6.02B</t>
  </si>
  <si>
    <t>5.89B</t>
  </si>
  <si>
    <t>5.83B</t>
  </si>
  <si>
    <t>6.39B</t>
  </si>
  <si>
    <t>5.53B</t>
  </si>
  <si>
    <t>5.68B</t>
  </si>
  <si>
    <t>8.12B</t>
  </si>
  <si>
    <t>6.27B</t>
  </si>
  <si>
    <t>6.22B</t>
  </si>
  <si>
    <t>4.58B</t>
  </si>
  <si>
    <t>4.57B</t>
  </si>
  <si>
    <t>7.18B</t>
  </si>
  <si>
    <t>6.36B</t>
  </si>
  <si>
    <t>7.20B</t>
  </si>
  <si>
    <t>7.29B</t>
  </si>
  <si>
    <t>6.62B</t>
  </si>
  <si>
    <t>5.62B</t>
  </si>
  <si>
    <t>8.59B</t>
  </si>
  <si>
    <t>19.47B</t>
  </si>
  <si>
    <t>18.03B</t>
  </si>
  <si>
    <t>17.83B</t>
  </si>
  <si>
    <t>9.84B</t>
  </si>
  <si>
    <t>8.39B</t>
  </si>
  <si>
    <t>9.61B</t>
  </si>
  <si>
    <t>11.59B</t>
  </si>
  <si>
    <t>9.32B</t>
  </si>
  <si>
    <t>12.25B</t>
  </si>
  <si>
    <t>12.75B</t>
  </si>
  <si>
    <t>7.08B</t>
  </si>
  <si>
    <t>5.12B</t>
  </si>
  <si>
    <t>3.81B</t>
  </si>
  <si>
    <t>5.86B</t>
  </si>
  <si>
    <t>4.66B</t>
  </si>
  <si>
    <t>5.28B</t>
  </si>
  <si>
    <t>4.12B</t>
  </si>
  <si>
    <t>5.97B</t>
  </si>
  <si>
    <t>5.64B</t>
  </si>
  <si>
    <t>4.46B</t>
  </si>
  <si>
    <t>3.86B</t>
  </si>
  <si>
    <t>5.08B</t>
  </si>
  <si>
    <t>6.14B</t>
  </si>
  <si>
    <t>5.20B</t>
  </si>
  <si>
    <t>6.80B</t>
  </si>
  <si>
    <t>5.85B</t>
  </si>
  <si>
    <t>5.16B</t>
  </si>
  <si>
    <t>4.04B</t>
  </si>
  <si>
    <t>5.79B</t>
  </si>
  <si>
    <t>5.03B</t>
  </si>
  <si>
    <t>5.82B</t>
  </si>
  <si>
    <t>5.34B</t>
  </si>
  <si>
    <t>4.71B</t>
  </si>
  <si>
    <t>5.56B</t>
  </si>
  <si>
    <t>6.08B</t>
  </si>
  <si>
    <t>5.06B</t>
  </si>
  <si>
    <t>7.11B</t>
  </si>
  <si>
    <t>5.46B</t>
  </si>
  <si>
    <t>5.21B</t>
  </si>
  <si>
    <t>COMFORTDELGRO</t>
  </si>
  <si>
    <t>152.91M</t>
  </si>
  <si>
    <t>119.00M</t>
  </si>
  <si>
    <t>177.74M</t>
  </si>
  <si>
    <t>244.31M</t>
  </si>
  <si>
    <t>241.76M</t>
  </si>
  <si>
    <t>338.76M</t>
  </si>
  <si>
    <t>379.98M</t>
  </si>
  <si>
    <t>184.35M</t>
  </si>
  <si>
    <t>193.71M</t>
  </si>
  <si>
    <t>247.71M</t>
  </si>
  <si>
    <t>190.45M</t>
  </si>
  <si>
    <t>172.73M</t>
  </si>
  <si>
    <t>86.72M</t>
  </si>
  <si>
    <t>61.42M</t>
  </si>
  <si>
    <t>85.98M</t>
  </si>
  <si>
    <t>133.30M</t>
  </si>
  <si>
    <t>160.96M</t>
  </si>
  <si>
    <t>168.67M</t>
  </si>
  <si>
    <t>98.23M</t>
  </si>
  <si>
    <t>109.68M</t>
  </si>
  <si>
    <t>177.32M</t>
  </si>
  <si>
    <t>152.90M</t>
  </si>
  <si>
    <t>91.58M</t>
  </si>
  <si>
    <t>92.84M</t>
  </si>
  <si>
    <t>98.03M</t>
  </si>
  <si>
    <t>123.22M</t>
  </si>
  <si>
    <t>110.60M</t>
  </si>
  <si>
    <t>146.02M</t>
  </si>
  <si>
    <t>113.66M</t>
  </si>
  <si>
    <t>125.55M</t>
  </si>
  <si>
    <t>150.60M</t>
  </si>
  <si>
    <t>251.53M</t>
  </si>
  <si>
    <t>160.24M</t>
  </si>
  <si>
    <t>95.12M</t>
  </si>
  <si>
    <t>111.53M</t>
  </si>
  <si>
    <t>108.75M</t>
  </si>
  <si>
    <t>214.84M</t>
  </si>
  <si>
    <t>135.45M</t>
  </si>
  <si>
    <t>280.44M</t>
  </si>
  <si>
    <t>236.18M</t>
  </si>
  <si>
    <t>216.06M</t>
  </si>
  <si>
    <t>124.26M</t>
  </si>
  <si>
    <t>81.56M</t>
  </si>
  <si>
    <t>153.58M</t>
  </si>
  <si>
    <t>199.86M</t>
  </si>
  <si>
    <t>164.79M</t>
  </si>
  <si>
    <t>319.44M</t>
  </si>
  <si>
    <t>325.14M</t>
  </si>
  <si>
    <t>240.68M</t>
  </si>
  <si>
    <t>209.48M</t>
  </si>
  <si>
    <t>451.59M</t>
  </si>
  <si>
    <t>216.30M</t>
  </si>
  <si>
    <t>280.39M</t>
  </si>
  <si>
    <t>269.88M</t>
  </si>
  <si>
    <t>252.60M</t>
  </si>
  <si>
    <t>231.08M</t>
  </si>
  <si>
    <t>318.64M</t>
  </si>
  <si>
    <t>223.58M</t>
  </si>
  <si>
    <t>294.07M</t>
  </si>
  <si>
    <t>259.07M</t>
  </si>
  <si>
    <t>209.21M</t>
  </si>
  <si>
    <t>returns %</t>
  </si>
  <si>
    <t>beta:</t>
  </si>
  <si>
    <t>8.04M</t>
  </si>
  <si>
    <t>8.47M</t>
  </si>
  <si>
    <t>12.61M</t>
  </si>
  <si>
    <t>8.68M</t>
  </si>
  <si>
    <t>14.48M</t>
  </si>
  <si>
    <t>12.49M</t>
  </si>
  <si>
    <t>8.91M</t>
  </si>
  <si>
    <t>24.50M</t>
  </si>
  <si>
    <t>19.24M</t>
  </si>
  <si>
    <t>25.14M</t>
  </si>
  <si>
    <t>27.04M</t>
  </si>
  <si>
    <t>15.66M</t>
  </si>
  <si>
    <t>10.79M</t>
  </si>
  <si>
    <t>11.27M</t>
  </si>
  <si>
    <t>11.53M</t>
  </si>
  <si>
    <t>13.18M</t>
  </si>
  <si>
    <t>20.20M</t>
  </si>
  <si>
    <t>27.97M</t>
  </si>
  <si>
    <t>11.49M</t>
  </si>
  <si>
    <t>10.77M</t>
  </si>
  <si>
    <t>11.14M</t>
  </si>
  <si>
    <t>7.08M</t>
  </si>
  <si>
    <t>9.93M</t>
  </si>
  <si>
    <t>11.75M</t>
  </si>
  <si>
    <t>4.48M</t>
  </si>
  <si>
    <t>6.45M</t>
  </si>
  <si>
    <t>9.59M</t>
  </si>
  <si>
    <t>9.10M</t>
  </si>
  <si>
    <t>16.86M</t>
  </si>
  <si>
    <t>11.82M</t>
  </si>
  <si>
    <t>10.96M</t>
  </si>
  <si>
    <t>17.36M</t>
  </si>
  <si>
    <t>13.53M</t>
  </si>
  <si>
    <t>9.94M</t>
  </si>
  <si>
    <t>13.10M</t>
  </si>
  <si>
    <t>5.38M</t>
  </si>
  <si>
    <t>3.70M</t>
  </si>
  <si>
    <t>7.94M</t>
  </si>
  <si>
    <t>9.26M</t>
  </si>
  <si>
    <t>8.81M</t>
  </si>
  <si>
    <t>15.06M</t>
  </si>
  <si>
    <t>16.42M</t>
  </si>
  <si>
    <t>13.95M</t>
  </si>
  <si>
    <t>8.09M</t>
  </si>
  <si>
    <t>8.53M</t>
  </si>
  <si>
    <t>5.33M</t>
  </si>
  <si>
    <t>6.10M</t>
  </si>
  <si>
    <t>5.35M</t>
  </si>
  <si>
    <t>5.99M</t>
  </si>
  <si>
    <t>7.07M</t>
  </si>
  <si>
    <t>9.07M</t>
  </si>
  <si>
    <t>13.66M</t>
  </si>
  <si>
    <t>20.14M</t>
  </si>
  <si>
    <t>6.65M</t>
  </si>
  <si>
    <t>5.94M</t>
  </si>
  <si>
    <t>7.24M</t>
  </si>
  <si>
    <t>7.92M</t>
  </si>
  <si>
    <t>7.96M</t>
  </si>
  <si>
    <t>5.55M</t>
  </si>
  <si>
    <t>3.94M</t>
  </si>
  <si>
    <t>Kelsian Group</t>
  </si>
  <si>
    <t>34.88M</t>
  </si>
  <si>
    <t>20.15M</t>
  </si>
  <si>
    <t>30.33M</t>
  </si>
  <si>
    <t>40.40M</t>
  </si>
  <si>
    <t>22.11M</t>
  </si>
  <si>
    <t>21.66M</t>
  </si>
  <si>
    <t>37.23M</t>
  </si>
  <si>
    <t>41.26M</t>
  </si>
  <si>
    <t>26.64M</t>
  </si>
  <si>
    <t>20.37M</t>
  </si>
  <si>
    <t>52.52M</t>
  </si>
  <si>
    <t>28.37M</t>
  </si>
  <si>
    <t>17.42M</t>
  </si>
  <si>
    <t>22.12M</t>
  </si>
  <si>
    <t>23.20M</t>
  </si>
  <si>
    <t>28.85M</t>
  </si>
  <si>
    <t>26.28M</t>
  </si>
  <si>
    <t>21.57M</t>
  </si>
  <si>
    <t>26.86M</t>
  </si>
  <si>
    <t>23.94M</t>
  </si>
  <si>
    <t>21.94M</t>
  </si>
  <si>
    <t>51.63M</t>
  </si>
  <si>
    <t>17.48M</t>
  </si>
  <si>
    <t>22.36M</t>
  </si>
  <si>
    <t>27.90M</t>
  </si>
  <si>
    <t>23.22M</t>
  </si>
  <si>
    <t>27.25M</t>
  </si>
  <si>
    <t>30.96M</t>
  </si>
  <si>
    <t>24.65M</t>
  </si>
  <si>
    <t>31.42M</t>
  </si>
  <si>
    <t>62.30M</t>
  </si>
  <si>
    <t>26.52M</t>
  </si>
  <si>
    <t>22.04M</t>
  </si>
  <si>
    <t>33.03M</t>
  </si>
  <si>
    <t>29.79M</t>
  </si>
  <si>
    <t>30.66M</t>
  </si>
  <si>
    <t>21.60M</t>
  </si>
  <si>
    <t>51.20M</t>
  </si>
  <si>
    <t>30.30M</t>
  </si>
  <si>
    <t>44.10M</t>
  </si>
  <si>
    <t>44.15M</t>
  </si>
  <si>
    <t>30.67M</t>
  </si>
  <si>
    <t>48.27M</t>
  </si>
  <si>
    <t>44.06M</t>
  </si>
  <si>
    <t>17.68M</t>
  </si>
  <si>
    <t>27.76M</t>
  </si>
  <si>
    <t>26.73M</t>
  </si>
  <si>
    <t>1.02B</t>
  </si>
  <si>
    <t>49.48M</t>
  </si>
  <si>
    <t>52.03M</t>
  </si>
  <si>
    <t>35.07M</t>
  </si>
  <si>
    <t>42.44M</t>
  </si>
  <si>
    <t>83.25M</t>
  </si>
  <si>
    <t>57.00M</t>
  </si>
  <si>
    <t>60.37M</t>
  </si>
  <si>
    <t>58.82M</t>
  </si>
  <si>
    <t>58.26M</t>
  </si>
  <si>
    <t>57.23M</t>
  </si>
  <si>
    <t>62.05M</t>
  </si>
  <si>
    <t>First Group plc</t>
  </si>
  <si>
    <t>80.38M</t>
  </si>
  <si>
    <t>49.04M</t>
  </si>
  <si>
    <t>69.44M</t>
  </si>
  <si>
    <t>73.77M</t>
  </si>
  <si>
    <t>125.76M</t>
  </si>
  <si>
    <t>98.06M</t>
  </si>
  <si>
    <t>109.97M</t>
  </si>
  <si>
    <t>153.28M</t>
  </si>
  <si>
    <t>96.48M</t>
  </si>
  <si>
    <t>82.69M</t>
  </si>
  <si>
    <t>29.08M</t>
  </si>
  <si>
    <t>20.33M</t>
  </si>
  <si>
    <t>26.10M</t>
  </si>
  <si>
    <t>42.57M</t>
  </si>
  <si>
    <t>27.18M</t>
  </si>
  <si>
    <t>25.01M</t>
  </si>
  <si>
    <t>30.83M</t>
  </si>
  <si>
    <t>49.45M</t>
  </si>
  <si>
    <t>30.82M</t>
  </si>
  <si>
    <t>74.48M</t>
  </si>
  <si>
    <t>49.85M</t>
  </si>
  <si>
    <t>63.13M</t>
  </si>
  <si>
    <t>35.00M</t>
  </si>
  <si>
    <t>32.79M</t>
  </si>
  <si>
    <t>52.89M</t>
  </si>
  <si>
    <t>42.17M</t>
  </si>
  <si>
    <t>41.90M</t>
  </si>
  <si>
    <t>112.27M</t>
  </si>
  <si>
    <t>42.64M</t>
  </si>
  <si>
    <t>49.01M</t>
  </si>
  <si>
    <t>52.81M</t>
  </si>
  <si>
    <t>89.41M</t>
  </si>
  <si>
    <t>56.72M</t>
  </si>
  <si>
    <t>45.52M</t>
  </si>
  <si>
    <t>80.93M</t>
  </si>
  <si>
    <t>70.90M</t>
  </si>
  <si>
    <t>54.60M</t>
  </si>
  <si>
    <t>41.21M</t>
  </si>
  <si>
    <t>32.38M</t>
  </si>
  <si>
    <t>40.63M</t>
  </si>
  <si>
    <t>60.82M</t>
  </si>
  <si>
    <t>36.61M</t>
  </si>
  <si>
    <t>50.32M</t>
  </si>
  <si>
    <t>39.04M</t>
  </si>
  <si>
    <t>20.38M</t>
  </si>
  <si>
    <t>19.05M</t>
  </si>
  <si>
    <t>63.77M</t>
  </si>
  <si>
    <t>23.61M</t>
  </si>
  <si>
    <t>41.52M</t>
  </si>
  <si>
    <t>33.81M</t>
  </si>
  <si>
    <t>28.57M</t>
  </si>
  <si>
    <t>25.77M</t>
  </si>
  <si>
    <t>43.12M</t>
  </si>
  <si>
    <t>44.37M</t>
  </si>
  <si>
    <t>27.70M</t>
  </si>
  <si>
    <t>38.64M</t>
  </si>
  <si>
    <t>31.31M</t>
  </si>
  <si>
    <t>49.46M</t>
  </si>
  <si>
    <t>77.36M</t>
  </si>
  <si>
    <t>47.82M</t>
  </si>
  <si>
    <t>beta</t>
  </si>
  <si>
    <t>unlevered beta:</t>
  </si>
  <si>
    <t>median unlevered beta of comparable companies</t>
  </si>
  <si>
    <t>relevered beta</t>
  </si>
  <si>
    <t>levered historical beta:</t>
  </si>
  <si>
    <t>Diluted shares outstanding</t>
  </si>
  <si>
    <t>Terminal growth</t>
  </si>
  <si>
    <t>Diluted shares oustanding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</si>
</sst>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"/>
    <numFmt numFmtId="165" formatCode="#,##0.0;\-#,##0.0"/>
    <numFmt numFmtId="166" formatCode="0.0"/>
    <numFmt numFmtId="167" formatCode="0.0%"/>
    <numFmt numFmtId="168" formatCode="_(* #,##0_);_(* \(#,##0\);_(* &quot;-&quot;??_);_(@_)"/>
    <numFmt numFmtId="169" formatCode="_(* #,##0.00_);_(* \(#,##0.00\);_(* &quot;-&quot;??_);_(@_)"/>
    <numFmt numFmtId="170" formatCode="#\A"/>
    <numFmt numFmtId="171" formatCode="#\E"/>
    <numFmt numFmtId="172" formatCode="dd/mm/yy"/>
    <numFmt numFmtId="173" formatCode="#,##0_ ;\-#,##0\ "/>
    <numFmt numFmtId="174" formatCode="0.0000000000000000%"/>
    <numFmt numFmtId="175" formatCode="#,###.00\x"/>
    <numFmt numFmtId="176" formatCode="#.##\x"/>
    <numFmt numFmtId="177" formatCode="#.###\x"/>
    <numFmt numFmtId="178" formatCode="General\ \x"/>
  </numFmts>
  <fonts count="3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07367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169" fontId="26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118">
    <xf numFmtId="0" fontId="0" fillId="0" borderId="0" xfId="0"/>
    <xf numFmtId="3" fontId="0" fillId="0" borderId="0" xfId="0" applyNumberFormat="1"/>
    <xf numFmtId="10" fontId="0" fillId="0" borderId="0" xfId="0" applyNumberFormat="1"/>
    <xf numFmtId="37" fontId="18" fillId="0" borderId="0" xfId="0" applyNumberFormat="1" applyFont="1" applyAlignment="1">
      <alignment horizontal="right" vertical="top"/>
    </xf>
    <xf numFmtId="0" fontId="18" fillId="0" borderId="0" xfId="0" applyFont="1" applyAlignment="1">
      <alignment vertical="top" wrapText="1"/>
    </xf>
    <xf numFmtId="0" fontId="0" fillId="0" borderId="0" xfId="0" applyAlignment="1">
      <alignment horizontal="left" indent="1"/>
    </xf>
    <xf numFmtId="37" fontId="0" fillId="0" borderId="0" xfId="0" applyNumberFormat="1"/>
    <xf numFmtId="4" fontId="0" fillId="0" borderId="0" xfId="0" applyNumberFormat="1"/>
    <xf numFmtId="0" fontId="20" fillId="0" borderId="0" xfId="0" applyFont="1"/>
    <xf numFmtId="0" fontId="20" fillId="33" borderId="10" xfId="0" applyFont="1" applyFill="1" applyBorder="1"/>
    <xf numFmtId="4" fontId="20" fillId="33" borderId="10" xfId="0" applyNumberFormat="1" applyFont="1" applyFill="1" applyBorder="1"/>
    <xf numFmtId="164" fontId="0" fillId="0" borderId="0" xfId="0" applyNumberFormat="1"/>
    <xf numFmtId="0" fontId="20" fillId="0" borderId="10" xfId="0" applyFont="1" applyBorder="1"/>
    <xf numFmtId="164" fontId="20" fillId="0" borderId="10" xfId="0" applyNumberFormat="1" applyFont="1" applyBorder="1"/>
    <xf numFmtId="165" fontId="18" fillId="0" borderId="0" xfId="0" applyNumberFormat="1" applyFont="1" applyAlignment="1">
      <alignment horizontal="right" vertical="top"/>
    </xf>
    <xf numFmtId="37" fontId="21" fillId="0" borderId="0" xfId="0" applyNumberFormat="1" applyFont="1" applyAlignment="1">
      <alignment horizontal="right" vertical="top"/>
    </xf>
    <xf numFmtId="37" fontId="21" fillId="0" borderId="10" xfId="0" applyNumberFormat="1" applyFont="1" applyBorder="1" applyAlignment="1">
      <alignment horizontal="right" vertical="top"/>
    </xf>
    <xf numFmtId="37" fontId="20" fillId="0" borderId="10" xfId="0" applyNumberFormat="1" applyFont="1" applyBorder="1"/>
    <xf numFmtId="37" fontId="20" fillId="0" borderId="0" xfId="0" applyNumberFormat="1" applyFont="1"/>
    <xf numFmtId="165" fontId="0" fillId="0" borderId="0" xfId="0" applyNumberFormat="1"/>
    <xf numFmtId="165" fontId="20" fillId="0" borderId="10" xfId="0" applyNumberFormat="1" applyFont="1" applyBorder="1"/>
    <xf numFmtId="0" fontId="0" fillId="34" borderId="11" xfId="0" applyFill="1" applyBorder="1"/>
    <xf numFmtId="14" fontId="0" fillId="34" borderId="11" xfId="0" applyNumberFormat="1" applyFill="1" applyBorder="1"/>
    <xf numFmtId="0" fontId="0" fillId="35" borderId="0" xfId="0" applyFill="1"/>
    <xf numFmtId="0" fontId="19" fillId="35" borderId="0" xfId="0" applyFont="1" applyFill="1"/>
    <xf numFmtId="0" fontId="20" fillId="33" borderId="0" xfId="0" applyFont="1" applyFill="1"/>
    <xf numFmtId="4" fontId="20" fillId="33" borderId="0" xfId="0" applyNumberFormat="1" applyFont="1" applyFill="1"/>
    <xf numFmtId="4" fontId="20" fillId="0" borderId="10" xfId="0" applyNumberFormat="1" applyFont="1" applyBorder="1"/>
    <xf numFmtId="0" fontId="20" fillId="36" borderId="12" xfId="0" applyFont="1" applyFill="1" applyBorder="1"/>
    <xf numFmtId="0" fontId="0" fillId="0" borderId="10" xfId="0" applyBorder="1"/>
    <xf numFmtId="0" fontId="20" fillId="34" borderId="12" xfId="0" applyFont="1" applyFill="1" applyBorder="1"/>
    <xf numFmtId="0" fontId="23" fillId="0" borderId="0" xfId="0" applyFont="1"/>
    <xf numFmtId="0" fontId="20" fillId="37" borderId="0" xfId="0" applyFont="1" applyFill="1"/>
    <xf numFmtId="0" fontId="0" fillId="37" borderId="0" xfId="0" applyFill="1"/>
    <xf numFmtId="10" fontId="0" fillId="37" borderId="0" xfId="0" applyNumberFormat="1" applyFill="1"/>
    <xf numFmtId="0" fontId="19" fillId="0" borderId="0" xfId="0" applyFont="1"/>
    <xf numFmtId="10" fontId="23" fillId="37" borderId="0" xfId="0" applyNumberFormat="1" applyFont="1" applyFill="1"/>
    <xf numFmtId="166" fontId="0" fillId="0" borderId="0" xfId="0" applyNumberFormat="1"/>
    <xf numFmtId="4" fontId="20" fillId="0" borderId="0" xfId="0" applyNumberFormat="1" applyFont="1"/>
    <xf numFmtId="167" fontId="20" fillId="37" borderId="0" xfId="0" applyNumberFormat="1" applyFont="1" applyFill="1"/>
    <xf numFmtId="10" fontId="20" fillId="37" borderId="0" xfId="0" applyNumberFormat="1" applyFont="1" applyFill="1"/>
    <xf numFmtId="0" fontId="19" fillId="38" borderId="0" xfId="0" applyFont="1" applyFill="1"/>
    <xf numFmtId="0" fontId="19" fillId="39" borderId="0" xfId="0" applyFont="1" applyFill="1"/>
    <xf numFmtId="168" fontId="0" fillId="0" borderId="0" xfId="0" applyNumberFormat="1"/>
    <xf numFmtId="168" fontId="20" fillId="0" borderId="10" xfId="44" applyNumberFormat="1" applyFont="1" applyBorder="1"/>
    <xf numFmtId="168" fontId="20" fillId="34" borderId="12" xfId="44" applyNumberFormat="1" applyFont="1" applyFill="1" applyBorder="1"/>
    <xf numFmtId="166" fontId="20" fillId="34" borderId="12" xfId="0" applyNumberFormat="1" applyFont="1" applyFill="1" applyBorder="1"/>
    <xf numFmtId="168" fontId="23" fillId="0" borderId="0" xfId="0" applyNumberFormat="1" applyFont="1"/>
    <xf numFmtId="168" fontId="20" fillId="0" borderId="0" xfId="44" applyNumberFormat="1" applyFont="1" applyBorder="1"/>
    <xf numFmtId="0" fontId="19" fillId="39" borderId="0" xfId="0" applyFont="1" applyFill="1" applyAlignment="1">
      <alignment horizontal="centerContinuous"/>
    </xf>
    <xf numFmtId="168" fontId="27" fillId="0" borderId="0" xfId="0" applyNumberFormat="1" applyFont="1"/>
    <xf numFmtId="3" fontId="20" fillId="34" borderId="12" xfId="0" applyNumberFormat="1" applyFont="1" applyFill="1" applyBorder="1"/>
    <xf numFmtId="167" fontId="0" fillId="37" borderId="0" xfId="45" applyNumberFormat="1" applyFont="1" applyFill="1"/>
    <xf numFmtId="0" fontId="0" fillId="39" borderId="0" xfId="0" applyFill="1"/>
    <xf numFmtId="167" fontId="0" fillId="0" borderId="0" xfId="45" applyNumberFormat="1" applyFont="1"/>
    <xf numFmtId="167" fontId="0" fillId="0" borderId="0" xfId="0" applyNumberFormat="1"/>
    <xf numFmtId="168" fontId="28" fillId="0" borderId="0" xfId="0" applyNumberFormat="1" applyFont="1"/>
    <xf numFmtId="166" fontId="0" fillId="0" borderId="10" xfId="0" applyNumberFormat="1" applyBorder="1"/>
    <xf numFmtId="166" fontId="20" fillId="36" borderId="12" xfId="0" applyNumberFormat="1" applyFont="1" applyFill="1" applyBorder="1"/>
    <xf numFmtId="37" fontId="23" fillId="0" borderId="0" xfId="0" applyNumberFormat="1" applyFont="1"/>
    <xf numFmtId="43" fontId="0" fillId="0" borderId="0" xfId="0" applyNumberFormat="1"/>
    <xf numFmtId="0" fontId="20" fillId="34" borderId="10" xfId="0" applyFont="1" applyFill="1" applyBorder="1"/>
    <xf numFmtId="166" fontId="20" fillId="34" borderId="10" xfId="0" applyNumberFormat="1" applyFont="1" applyFill="1" applyBorder="1"/>
    <xf numFmtId="168" fontId="26" fillId="0" borderId="0" xfId="44" applyNumberFormat="1" applyFont="1" applyBorder="1"/>
    <xf numFmtId="166" fontId="20" fillId="0" borderId="10" xfId="0" applyNumberFormat="1" applyFont="1" applyBorder="1"/>
    <xf numFmtId="0" fontId="30" fillId="0" borderId="13" xfId="0" applyFont="1" applyBorder="1"/>
    <xf numFmtId="0" fontId="0" fillId="0" borderId="13" xfId="0" applyBorder="1"/>
    <xf numFmtId="0" fontId="0" fillId="0" borderId="0" xfId="0" applyAlignment="1">
      <alignment horizontal="right"/>
    </xf>
    <xf numFmtId="0" fontId="27" fillId="34" borderId="11" xfId="0" applyFont="1" applyFill="1" applyBorder="1" applyAlignment="1">
      <alignment horizontal="center"/>
    </xf>
    <xf numFmtId="14" fontId="27" fillId="34" borderId="11" xfId="0" applyNumberFormat="1" applyFont="1" applyFill="1" applyBorder="1" applyAlignment="1">
      <alignment horizontal="center"/>
    </xf>
    <xf numFmtId="170" fontId="0" fillId="37" borderId="0" xfId="0" applyNumberFormat="1" applyFill="1"/>
    <xf numFmtId="171" fontId="0" fillId="37" borderId="0" xfId="0" applyNumberFormat="1" applyFill="1"/>
    <xf numFmtId="0" fontId="0" fillId="37" borderId="13" xfId="0" applyFill="1" applyBorder="1"/>
    <xf numFmtId="172" fontId="0" fillId="37" borderId="13" xfId="0" applyNumberFormat="1" applyFill="1" applyBorder="1"/>
    <xf numFmtId="3" fontId="20" fillId="0" borderId="10" xfId="0" applyNumberFormat="1" applyFont="1" applyBorder="1"/>
    <xf numFmtId="168" fontId="0" fillId="0" borderId="0" xfId="44" applyNumberFormat="1" applyFont="1"/>
    <xf numFmtId="3" fontId="20" fillId="0" borderId="0" xfId="0" applyNumberFormat="1" applyFont="1"/>
    <xf numFmtId="0" fontId="0" fillId="34" borderId="0" xfId="0" applyFill="1"/>
    <xf numFmtId="0" fontId="29" fillId="39" borderId="0" xfId="0" applyFont="1" applyFill="1"/>
    <xf numFmtId="0" fontId="20" fillId="0" borderId="13" xfId="0" applyFont="1" applyBorder="1"/>
    <xf numFmtId="10" fontId="27" fillId="0" borderId="0" xfId="0" applyNumberFormat="1" applyFont="1"/>
    <xf numFmtId="0" fontId="27" fillId="0" borderId="0" xfId="0" applyFont="1"/>
    <xf numFmtId="10" fontId="20" fillId="0" borderId="0" xfId="0" applyNumberFormat="1" applyFont="1"/>
    <xf numFmtId="173" fontId="20" fillId="0" borderId="0" xfId="0" applyNumberFormat="1" applyFont="1"/>
    <xf numFmtId="174" fontId="20" fillId="34" borderId="10" xfId="0" applyNumberFormat="1" applyFont="1" applyFill="1" applyBorder="1"/>
    <xf numFmtId="43" fontId="0" fillId="34" borderId="0" xfId="0" applyNumberFormat="1" applyFill="1"/>
    <xf numFmtId="175" fontId="0" fillId="0" borderId="0" xfId="0" applyNumberFormat="1"/>
    <xf numFmtId="168" fontId="20" fillId="34" borderId="12" xfId="0" applyNumberFormat="1" applyFont="1" applyFill="1" applyBorder="1"/>
    <xf numFmtId="176" fontId="27" fillId="0" borderId="0" xfId="0" applyNumberFormat="1" applyFont="1"/>
    <xf numFmtId="177" fontId="27" fillId="0" borderId="0" xfId="0" applyNumberFormat="1" applyFont="1"/>
    <xf numFmtId="176" fontId="20" fillId="34" borderId="10" xfId="0" applyNumberFormat="1" applyFont="1" applyFill="1" applyBorder="1"/>
    <xf numFmtId="0" fontId="20" fillId="34" borderId="13" xfId="0" applyFont="1" applyFill="1" applyBorder="1"/>
    <xf numFmtId="176" fontId="20" fillId="34" borderId="13" xfId="0" applyNumberFormat="1" applyFont="1" applyFill="1" applyBorder="1"/>
    <xf numFmtId="4" fontId="23" fillId="0" borderId="0" xfId="0" applyNumberFormat="1" applyFont="1"/>
    <xf numFmtId="43" fontId="20" fillId="34" borderId="12" xfId="0" applyNumberFormat="1" applyFont="1" applyFill="1" applyBorder="1"/>
    <xf numFmtId="0" fontId="0" fillId="0" borderId="0" xfId="0" quotePrefix="1"/>
    <xf numFmtId="168" fontId="20" fillId="0" borderId="10" xfId="0" applyNumberFormat="1" applyFont="1" applyBorder="1"/>
    <xf numFmtId="178" fontId="0" fillId="0" borderId="0" xfId="0" applyNumberFormat="1"/>
    <xf numFmtId="10" fontId="0" fillId="0" borderId="0" xfId="45" applyNumberFormat="1" applyFont="1"/>
    <xf numFmtId="178" fontId="23" fillId="0" borderId="0" xfId="0" applyNumberFormat="1" applyFont="1"/>
    <xf numFmtId="10" fontId="23" fillId="0" borderId="0" xfId="45" applyNumberFormat="1" applyFont="1"/>
    <xf numFmtId="3" fontId="23" fillId="0" borderId="0" xfId="0" applyNumberFormat="1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4" fontId="23" fillId="0" borderId="0" xfId="0" applyNumberFormat="1" applyFont="1"/>
    <xf numFmtId="10" fontId="23" fillId="0" borderId="0" xfId="0" applyNumberFormat="1" applyFont="1"/>
    <xf numFmtId="0" fontId="28" fillId="0" borderId="0" xfId="0" applyFont="1"/>
    <xf numFmtId="0" fontId="31" fillId="34" borderId="13" xfId="0" applyFont="1" applyFill="1" applyBorder="1"/>
    <xf numFmtId="0" fontId="20" fillId="34" borderId="0" xfId="0" applyFont="1" applyFill="1"/>
    <xf numFmtId="166" fontId="23" fillId="0" borderId="0" xfId="0" applyNumberFormat="1" applyFont="1"/>
    <xf numFmtId="2" fontId="0" fillId="0" borderId="0" xfId="0" applyNumberFormat="1" applyAlignment="1">
      <alignment horizontal="left" indent="1"/>
    </xf>
    <xf numFmtId="44" fontId="20" fillId="34" borderId="12" xfId="0" applyNumberFormat="1" applyFont="1" applyFill="1" applyBorder="1"/>
    <xf numFmtId="37" fontId="20" fillId="34" borderId="12" xfId="0" applyNumberFormat="1" applyFont="1" applyFill="1" applyBorder="1"/>
    <xf numFmtId="0" fontId="20" fillId="0" borderId="1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9" fillId="38" borderId="0" xfId="0" applyFont="1" applyFill="1" applyAlignment="1">
      <alignment horizontal="center"/>
    </xf>
    <xf numFmtId="0" fontId="19" fillId="39" borderId="0" xfId="0" applyFont="1" applyFill="1" applyAlignment="1">
      <alignment horizontal="center"/>
    </xf>
  </cellXfs>
  <cellStyles count="46">
    <cellStyle name="20% - Accent1 2" xfId="21" xr:uid="{7F1DC058-3DA4-4945-98D8-2DC0ECB9F210}"/>
    <cellStyle name="20% - Accent2 2" xfId="25" xr:uid="{45C01AB0-7BD0-441C-B632-D5CA9D59C11F}"/>
    <cellStyle name="20% - Accent3 2" xfId="29" xr:uid="{FF46D41A-4C13-4327-A3EF-A592E83334A6}"/>
    <cellStyle name="20% - Accent4 2" xfId="33" xr:uid="{60CB4C5D-1654-4FB2-A9AE-41707540D512}"/>
    <cellStyle name="20% - Accent5 2" xfId="37" xr:uid="{B9148941-556E-45FB-A6E5-D156F982822C}"/>
    <cellStyle name="20% - Accent6 2" xfId="41" xr:uid="{D701C1F9-CC1C-415D-AB5A-3AEBE452AD7B}"/>
    <cellStyle name="40% - Accent1 2" xfId="22" xr:uid="{B4DF7009-C890-4574-98F7-B1E1259498EE}"/>
    <cellStyle name="40% - Accent2 2" xfId="26" xr:uid="{8CC9300A-F395-427E-AFBE-095C11BA3F25}"/>
    <cellStyle name="40% - Accent3 2" xfId="30" xr:uid="{8C0FA83C-E176-4D21-817F-708103C3CA13}"/>
    <cellStyle name="40% - Accent4 2" xfId="34" xr:uid="{492D7345-1BEE-4718-8753-B8B116E4D3F7}"/>
    <cellStyle name="40% - Accent5 2" xfId="38" xr:uid="{66EAAEF1-90AD-498D-A1A2-E487053B40C7}"/>
    <cellStyle name="40% - Accent6 2" xfId="42" xr:uid="{CA2EF9F4-0DD9-459F-8A56-120B69564979}"/>
    <cellStyle name="60% - Accent1 2" xfId="23" xr:uid="{4258D6A2-318D-48A7-B6FA-4F677587C322}"/>
    <cellStyle name="60% - Accent2 2" xfId="27" xr:uid="{1CADD22E-3695-45AA-96EE-D839DA46B422}"/>
    <cellStyle name="60% - Accent3 2" xfId="31" xr:uid="{D019651C-468A-42EF-B786-9794BE5389FE}"/>
    <cellStyle name="60% - Accent4 2" xfId="35" xr:uid="{CE1F672C-6B0B-40CC-8A7D-99F443B6CAEE}"/>
    <cellStyle name="60% - Accent5 2" xfId="39" xr:uid="{D8CC3222-3D87-4C53-BA3B-93CA96E3CAC9}"/>
    <cellStyle name="60% - Accent6 2" xfId="43" xr:uid="{77A8A508-081C-4EA9-86E5-F20F771CAE21}"/>
    <cellStyle name="Accent1 2" xfId="20" xr:uid="{4313AFB0-34CF-4C7D-9F85-B48FB7A0B637}"/>
    <cellStyle name="Accent2 2" xfId="24" xr:uid="{3FF54B56-CB20-40F5-96D2-B868C3E33CB1}"/>
    <cellStyle name="Accent3 2" xfId="28" xr:uid="{D688ED5A-4DAA-41DC-AF4C-15144DC9D6E1}"/>
    <cellStyle name="Accent4 2" xfId="32" xr:uid="{4513D313-02F5-4D11-AC42-EC85E25FB1AD}"/>
    <cellStyle name="Accent5 2" xfId="36" xr:uid="{1C934920-121D-4087-8895-6601069E712A}"/>
    <cellStyle name="Accent6 2" xfId="40" xr:uid="{7F24DB20-F4FE-4BB5-B28C-7996C08EEC30}"/>
    <cellStyle name="Bad 2" xfId="9" xr:uid="{19614A3E-05A3-4598-AE6A-61CCBEB594BC}"/>
    <cellStyle name="Calculation 2" xfId="13" xr:uid="{547728B2-D44C-42D4-A3A5-58BA5B6933E0}"/>
    <cellStyle name="Check Cell 2" xfId="15" xr:uid="{F650B455-05A3-44E2-BC38-44C9ADB9B8C8}"/>
    <cellStyle name="Comma 2" xfId="7" xr:uid="{B3F42421-5733-4A50-9950-FBDA15F3806F}"/>
    <cellStyle name="Comma 3" xfId="44" xr:uid="{C45F630D-97FB-49D4-A834-63CE3C96630A}"/>
    <cellStyle name="Explanatory Text 2" xfId="18" xr:uid="{1C04E58A-8D6F-4F2D-8F5D-F159D8447989}"/>
    <cellStyle name="Good 2" xfId="8" xr:uid="{AD2E9F06-3D2C-4D0F-8F87-6A0E76663689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1" xr:uid="{2EB06483-728B-4A71-A619-EBFCCDB8149E}"/>
    <cellStyle name="Linked Cell 2" xfId="14" xr:uid="{D8A5E33E-2F79-4D22-B567-A86B45D634AF}"/>
    <cellStyle name="Neutral 2" xfId="10" xr:uid="{7B68193F-BB8C-4382-A989-55ED6F80FF5F}"/>
    <cellStyle name="Normal" xfId="0" builtinId="0"/>
    <cellStyle name="Normal 2" xfId="6" xr:uid="{50C5D470-A540-4427-993E-364FCFB33DD7}"/>
    <cellStyle name="Note 2" xfId="17" xr:uid="{D8871CBF-77C4-4F23-8715-C24DBB590DC1}"/>
    <cellStyle name="Output 2" xfId="12" xr:uid="{5AD3C5CA-9C2E-4EE5-9603-20EA11D218A8}"/>
    <cellStyle name="Percent" xfId="45" builtinId="5"/>
    <cellStyle name="Title" xfId="1" builtinId="15" customBuiltin="1"/>
    <cellStyle name="Total 2" xfId="19" xr:uid="{B35A9D29-1401-4F12-8C56-1140A3273586}"/>
    <cellStyle name="Warning Text 2" xfId="16" xr:uid="{E51E2C50-3966-4D48-9241-AF9BC335CBD7}"/>
  </cellStyles>
  <dxfs count="0"/>
  <tableStyles count="0" defaultTableStyle="TableStyleMedium2" defaultPivotStyle="PivotStyleLight16"/>
  <colors>
    <mruColors>
      <color rgb="FFFFFF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engJing\Downloads\5i29ZLIISFiHYLTpRDPw_6-1%20Apple%20DCF%20START%20(1).xlsx" TargetMode="External"/><Relationship Id="rId1" Type="http://schemas.openxmlformats.org/officeDocument/2006/relationships/externalLinkPath" Target="5i29ZLIISFiHYLTpRDPw_6-1%20Apple%20DCF%20STAR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FCF"/>
      <sheetName val="WACC"/>
      <sheetName val="Comparable Companies"/>
      <sheetName val="Shares Outstanding"/>
      <sheetName val="Income Statement"/>
      <sheetName val="Cash Flow Statement"/>
      <sheetName val="Balance Sheet"/>
      <sheetName val="Revolver"/>
      <sheetName val="Retained Earnings"/>
      <sheetName val="Fixed Assets"/>
      <sheetName val="Data Source --&gt;"/>
      <sheetName val="Income Statement - Data"/>
      <sheetName val="Balance Sheet -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F159-3CA6-4D47-A7FD-3D774C4FA464}">
  <dimension ref="A1:I84"/>
  <sheetViews>
    <sheetView tabSelected="1" topLeftCell="A57" zoomScaleNormal="100" workbookViewId="0">
      <selection activeCell="G63" sqref="G63"/>
    </sheetView>
  </sheetViews>
  <sheetFormatPr defaultRowHeight="15" x14ac:dyDescent="0.25"/>
  <cols>
    <col min="1" max="1" width="24.42578125" customWidth="1"/>
    <col min="2" max="2" width="53" bestFit="1" customWidth="1"/>
    <col min="3" max="3" width="17.85546875" customWidth="1"/>
    <col min="5" max="5" width="13.42578125" bestFit="1" customWidth="1"/>
    <col min="6" max="6" width="40" bestFit="1" customWidth="1"/>
    <col min="7" max="7" width="12.7109375" bestFit="1" customWidth="1"/>
    <col min="8" max="8" width="15" customWidth="1"/>
    <col min="9" max="9" width="9.5703125" bestFit="1" customWidth="1"/>
  </cols>
  <sheetData>
    <row r="1" spans="2:9" ht="28.5" x14ac:dyDescent="0.45">
      <c r="B1" s="65" t="str">
        <f>"Discounted Cash Flow "&amp;'[1]Income Statement'!C3</f>
        <v xml:space="preserve">Discounted Cash Flow </v>
      </c>
      <c r="C1" s="66"/>
      <c r="D1" s="66"/>
      <c r="E1" s="66"/>
      <c r="F1" s="66"/>
      <c r="G1" s="66"/>
      <c r="H1" s="66"/>
      <c r="I1" s="66"/>
    </row>
    <row r="3" spans="2:9" x14ac:dyDescent="0.25">
      <c r="B3" s="67" t="s">
        <v>195</v>
      </c>
      <c r="C3" s="68">
        <v>1.48</v>
      </c>
    </row>
    <row r="4" spans="2:9" x14ac:dyDescent="0.25">
      <c r="B4" s="67" t="s">
        <v>180</v>
      </c>
      <c r="C4" s="69">
        <v>46022</v>
      </c>
    </row>
    <row r="6" spans="2:9" x14ac:dyDescent="0.25">
      <c r="B6" s="42" t="s">
        <v>181</v>
      </c>
      <c r="C6" s="42"/>
      <c r="D6" s="42"/>
      <c r="E6" s="42"/>
      <c r="F6" s="42"/>
      <c r="G6" s="42"/>
      <c r="H6" s="42"/>
      <c r="I6" s="42"/>
    </row>
    <row r="7" spans="2:9" x14ac:dyDescent="0.25">
      <c r="B7" s="33" t="s">
        <v>182</v>
      </c>
      <c r="C7" s="70">
        <f t="shared" ref="C7:I7" si="0">YEAR(C8)</f>
        <v>2024</v>
      </c>
      <c r="D7" s="70">
        <f t="shared" si="0"/>
        <v>2025</v>
      </c>
      <c r="E7" s="71">
        <f t="shared" si="0"/>
        <v>2026</v>
      </c>
      <c r="F7" s="71">
        <f t="shared" si="0"/>
        <v>2027</v>
      </c>
      <c r="G7" s="71">
        <f t="shared" si="0"/>
        <v>2028</v>
      </c>
      <c r="H7" s="71">
        <f t="shared" si="0"/>
        <v>2029</v>
      </c>
      <c r="I7" s="71">
        <f t="shared" si="0"/>
        <v>2030</v>
      </c>
    </row>
    <row r="8" spans="2:9" x14ac:dyDescent="0.25">
      <c r="B8" s="72" t="s">
        <v>183</v>
      </c>
      <c r="C8" s="73">
        <v>45657</v>
      </c>
      <c r="D8" s="73">
        <v>46022</v>
      </c>
      <c r="E8" s="73">
        <f>EDATE(D8,12)</f>
        <v>46387</v>
      </c>
      <c r="F8" s="73">
        <f t="shared" ref="F8:I8" si="1">EDATE(E8,12)</f>
        <v>46752</v>
      </c>
      <c r="G8" s="73">
        <f t="shared" si="1"/>
        <v>47118</v>
      </c>
      <c r="H8" s="73">
        <f t="shared" si="1"/>
        <v>47483</v>
      </c>
      <c r="I8" s="73">
        <f t="shared" si="1"/>
        <v>47848</v>
      </c>
    </row>
    <row r="9" spans="2:9" x14ac:dyDescent="0.25">
      <c r="B9" t="s">
        <v>184</v>
      </c>
      <c r="C9" s="1">
        <f>'Profit &amp; loss'!C12</f>
        <v>4476.5</v>
      </c>
      <c r="D9">
        <f>'Profit &amp; loss'!D12</f>
        <v>5058.6000000000004</v>
      </c>
      <c r="E9" s="31">
        <v>5240</v>
      </c>
      <c r="F9" s="31">
        <v>5350</v>
      </c>
      <c r="G9" s="1">
        <f>'Profit &amp; loss'!G12</f>
        <v>5457</v>
      </c>
      <c r="H9" s="1">
        <f>'Profit &amp; loss'!H12</f>
        <v>5566.14</v>
      </c>
      <c r="I9" s="1">
        <f>'Profit &amp; loss'!I12</f>
        <v>5683.0289400000001</v>
      </c>
    </row>
    <row r="10" spans="2:9" x14ac:dyDescent="0.25">
      <c r="B10" t="s">
        <v>185</v>
      </c>
      <c r="D10" s="48"/>
      <c r="E10" s="48"/>
      <c r="F10" s="48"/>
      <c r="G10" s="48"/>
      <c r="H10" s="48"/>
      <c r="I10" s="48"/>
    </row>
    <row r="11" spans="2:9" x14ac:dyDescent="0.25">
      <c r="B11" t="s">
        <v>15</v>
      </c>
      <c r="C11" s="37">
        <f>INDEX('Income Statement - Data'!$C$3:$D$33,MATCH($B11,'Income Statement - Data'!$B$3:$B$33,0),MATCH('Profit &amp; loss'!C$11,'Income Statement - Data'!$C$2:$D$2,0))</f>
        <v>-2024.1</v>
      </c>
      <c r="D11" s="37">
        <f>INDEX('Income Statement - Data'!$C$3:$D$33,MATCH($B11,'Income Statement - Data'!$B$3:$B$33,0),MATCH('Profit &amp; loss'!D$11,'Income Statement - Data'!$C$2:$D$2,0))</f>
        <v>-2272</v>
      </c>
      <c r="E11" s="37">
        <f>'Profit &amp; loss'!E14</f>
        <v>-2353.4732930059699</v>
      </c>
      <c r="F11" s="37">
        <f>'Profit &amp; loss'!F14</f>
        <v>-2402.8782667141104</v>
      </c>
      <c r="G11" s="37">
        <f>'Profit &amp; loss'!G14</f>
        <v>-2450.9358320483925</v>
      </c>
      <c r="H11" s="37">
        <f>'Profit &amp; loss'!H14</f>
        <v>-2499.9545486893608</v>
      </c>
      <c r="I11" s="37">
        <f>'Profit &amp; loss'!I14</f>
        <v>-2552.4535942118373</v>
      </c>
    </row>
    <row r="12" spans="2:9" x14ac:dyDescent="0.25">
      <c r="B12" t="s">
        <v>16</v>
      </c>
      <c r="C12" s="37">
        <f>INDEX('Income Statement - Data'!$C$3:$D$33,MATCH($B12,'Income Statement - Data'!$B$3:$B$33,0),MATCH('Profit &amp; loss'!C$11,'Income Statement - Data'!$C$2:$D$2,0))</f>
        <v>-445.8</v>
      </c>
      <c r="D12" s="37">
        <f>INDEX('Income Statement - Data'!$C$3:$D$33,MATCH($B12,'Income Statement - Data'!$B$3:$B$33,0),MATCH('Profit &amp; loss'!D$11,'Income Statement - Data'!$C$2:$D$2,0))</f>
        <v>-644.29999999999995</v>
      </c>
      <c r="E12" s="37">
        <f>'Profit &amp; loss'!E15</f>
        <v>-667.40442019531088</v>
      </c>
      <c r="F12" s="37">
        <f>'Profit &amp; loss'!F15</f>
        <v>-681.41481832918191</v>
      </c>
      <c r="G12" s="37">
        <f>'Profit &amp; loss'!G15</f>
        <v>-695.04311469576555</v>
      </c>
      <c r="H12" s="37">
        <f>'Profit &amp; loss'!H15</f>
        <v>-708.94397698968089</v>
      </c>
      <c r="I12" s="37">
        <f>'Profit &amp; loss'!I15</f>
        <v>-723.83180050646422</v>
      </c>
    </row>
    <row r="13" spans="2:9" x14ac:dyDescent="0.25">
      <c r="B13" t="s">
        <v>17</v>
      </c>
      <c r="C13" s="37">
        <f>INDEX('Income Statement - Data'!$C$3:$D$33,MATCH($B13,'Income Statement - Data'!$B$3:$B$33,0),MATCH('Profit &amp; loss'!C$11,'Income Statement - Data'!$C$2:$D$2,0))</f>
        <v>-397.2</v>
      </c>
      <c r="D13" s="37">
        <f>INDEX('Income Statement - Data'!$C$3:$D$33,MATCH($B13,'Income Statement - Data'!$B$3:$B$33,0),MATCH('Profit &amp; loss'!D$11,'Income Statement - Data'!$C$2:$D$2,0))</f>
        <v>-350.9</v>
      </c>
      <c r="E13" s="37">
        <f>'Profit &amp; loss'!E16</f>
        <v>-363.48317716364204</v>
      </c>
      <c r="F13" s="37">
        <f>'Profit &amp; loss'!F16</f>
        <v>-371.11354920333679</v>
      </c>
      <c r="G13" s="37">
        <f>'Profit &amp; loss'!G16</f>
        <v>-378.53582018740354</v>
      </c>
      <c r="H13" s="37">
        <f>'Profit &amp; loss'!H16</f>
        <v>-386.10653659115167</v>
      </c>
      <c r="I13" s="37">
        <f>'Profit &amp; loss'!I16</f>
        <v>-394.21477385956581</v>
      </c>
    </row>
    <row r="14" spans="2:9" x14ac:dyDescent="0.25">
      <c r="B14" t="s">
        <v>19</v>
      </c>
      <c r="C14" s="37">
        <f>INDEX('Income Statement - Data'!$C$3:$D$33,MATCH($B14,'Income Statement - Data'!$B$3:$B$33,0),MATCH('Profit &amp; loss'!C$11,'Income Statement - Data'!$C$2:$D$2,0))</f>
        <v>-329.7</v>
      </c>
      <c r="D14" s="37">
        <f>INDEX('Income Statement - Data'!$C$3:$D$33,MATCH($B14,'Income Statement - Data'!$B$3:$B$33,0),MATCH('Profit &amp; loss'!D$11,'Income Statement - Data'!$C$2:$D$2,0))</f>
        <v>-349.3</v>
      </c>
      <c r="E14" s="37">
        <f ca="1">'Profit &amp; loss'!E17</f>
        <v>-361.82580160518722</v>
      </c>
      <c r="F14" s="37">
        <f ca="1">'Profit &amp; loss'!F17</f>
        <v>-369.42138140987623</v>
      </c>
      <c r="G14" s="37">
        <f ca="1">'Profit &amp; loss'!G17</f>
        <v>-376.80980903807375</v>
      </c>
      <c r="H14" s="37">
        <f ca="1">'Profit &amp; loss'!H17</f>
        <v>-384.34600521883527</v>
      </c>
      <c r="I14" s="37">
        <f ca="1">'Profit &amp; loss'!I17</f>
        <v>-392.41727132843079</v>
      </c>
    </row>
    <row r="15" spans="2:9" x14ac:dyDescent="0.25">
      <c r="B15" t="s">
        <v>20</v>
      </c>
      <c r="C15" s="37">
        <f>INDEX('Income Statement - Data'!$C$3:$D$33,MATCH($B15,'Income Statement - Data'!$B$3:$B$33,0),MATCH('Profit &amp; loss'!C$11,'Income Statement - Data'!$C$2:$D$2,0))</f>
        <v>-104.4</v>
      </c>
      <c r="D15" s="37">
        <f>INDEX('Income Statement - Data'!$C$3:$D$33,MATCH($B15,'Income Statement - Data'!$B$3:$B$33,0),MATCH('Profit &amp; loss'!D$11,'Income Statement - Data'!$C$2:$D$2,0))</f>
        <v>-90</v>
      </c>
      <c r="E15" s="37">
        <f>'Profit &amp; loss'!E18</f>
        <v>-93.227375163088595</v>
      </c>
      <c r="F15" s="37">
        <f>'Profit &amp; loss'!F18</f>
        <v>-95.184438382161076</v>
      </c>
      <c r="G15" s="37">
        <f>'Profit &amp; loss'!G18</f>
        <v>-97.088127149804293</v>
      </c>
      <c r="H15" s="37">
        <f>'Profit &amp; loss'!H18</f>
        <v>-99.029889692800381</v>
      </c>
      <c r="I15" s="37">
        <f>'Profit &amp; loss'!I18</f>
        <v>-101.10951737634919</v>
      </c>
    </row>
    <row r="16" spans="2:9" x14ac:dyDescent="0.25">
      <c r="B16" t="s">
        <v>21</v>
      </c>
      <c r="C16" s="37">
        <f>INDEX('Income Statement - Data'!$C$3:$D$33,MATCH($B16,'Income Statement - Data'!$B$3:$B$33,0),MATCH('Profit &amp; loss'!C$11,'Income Statement - Data'!$C$2:$D$2,0))</f>
        <v>-102.1</v>
      </c>
      <c r="D16" s="37">
        <f>INDEX('Income Statement - Data'!$C$3:$D$33,MATCH($B16,'Income Statement - Data'!$B$3:$B$33,0),MATCH('Profit &amp; loss'!D$11,'Income Statement - Data'!$C$2:$D$2,0))</f>
        <v>-122.6</v>
      </c>
      <c r="E16" s="37">
        <f ca="1">'Profit &amp; loss'!E19</f>
        <v>-126.99640216660735</v>
      </c>
      <c r="F16" s="37">
        <f ca="1">'Profit &amp; loss'!F19</f>
        <v>-129.66235717392163</v>
      </c>
      <c r="G16" s="37">
        <f ca="1">'Profit &amp; loss'!G19</f>
        <v>-132.25560431740007</v>
      </c>
      <c r="H16" s="37">
        <f ca="1">'Profit &amp; loss'!H19</f>
        <v>-134.90071640374808</v>
      </c>
      <c r="I16" s="37">
        <f ca="1">'Profit &amp; loss'!I19</f>
        <v>-137.73363144822679</v>
      </c>
    </row>
    <row r="17" spans="2:9" x14ac:dyDescent="0.25">
      <c r="B17" t="s">
        <v>22</v>
      </c>
      <c r="C17" s="37">
        <f>INDEX('Income Statement - Data'!$C$3:$D$33,MATCH($B17,'Income Statement - Data'!$B$3:$B$33,0),MATCH('Profit &amp; loss'!C$11,'Income Statement - Data'!$C$2:$D$2,0))</f>
        <v>-86.8</v>
      </c>
      <c r="D17" s="37">
        <f>INDEX('Income Statement - Data'!$C$3:$D$33,MATCH($B17,'Income Statement - Data'!$B$3:$B$33,0),MATCH('Profit &amp; loss'!D$11,'Income Statement - Data'!$C$2:$D$2,0))</f>
        <v>-97.5</v>
      </c>
      <c r="E17" s="37">
        <f>'Profit &amp; loss'!E20</f>
        <v>-100.99632309334598</v>
      </c>
      <c r="F17" s="37">
        <f>'Profit &amp; loss'!F20</f>
        <v>-103.11647491400781</v>
      </c>
      <c r="G17" s="37">
        <f>'Profit &amp; loss'!G20</f>
        <v>-105.17880441228797</v>
      </c>
      <c r="H17" s="37">
        <f>'Profit &amp; loss'!H20</f>
        <v>-107.28238050053375</v>
      </c>
      <c r="I17" s="37">
        <f>'Profit &amp; loss'!I20</f>
        <v>-109.53531049104495</v>
      </c>
    </row>
    <row r="18" spans="2:9" x14ac:dyDescent="0.25">
      <c r="B18" s="1" t="s">
        <v>23</v>
      </c>
      <c r="C18" s="37">
        <f>INDEX('Income Statement - Data'!$C$3:$D$33,MATCH($B18,'Income Statement - Data'!$B$3:$B$33,0),MATCH('Profit &amp; loss'!C$11,'Income Statement - Data'!$C$2:$D$2,0))</f>
        <v>-74.599999999999994</v>
      </c>
      <c r="D18" s="37">
        <f>INDEX('Income Statement - Data'!$C$3:$D$33,MATCH($B18,'Income Statement - Data'!$B$3:$B$33,0),MATCH('Profit &amp; loss'!D$11,'Income Statement - Data'!$C$2:$D$2,0))</f>
        <v>-85.7</v>
      </c>
      <c r="E18" s="37">
        <f>'Profit &amp; loss'!E21</f>
        <v>-88.773178349741031</v>
      </c>
      <c r="F18" s="37">
        <f>'Profit &amp; loss'!F21</f>
        <v>-90.636737437235595</v>
      </c>
      <c r="G18" s="37">
        <f>'Profit &amp; loss'!G21</f>
        <v>-92.449472185980298</v>
      </c>
      <c r="H18" s="37">
        <f>'Profit &amp; loss'!H21</f>
        <v>-94.298461629699915</v>
      </c>
      <c r="I18" s="37">
        <f>'Profit &amp; loss'!I21</f>
        <v>-96.278729323923628</v>
      </c>
    </row>
    <row r="19" spans="2:9" x14ac:dyDescent="0.25">
      <c r="B19" s="1" t="s">
        <v>24</v>
      </c>
      <c r="C19" s="37">
        <f>INDEX('Income Statement - Data'!$C$3:$D$33,MATCH($B19,'Income Statement - Data'!$B$3:$B$33,0),MATCH('Profit &amp; loss'!C$11,'Income Statement - Data'!$C$2:$D$2,0))</f>
        <v>-73.5</v>
      </c>
      <c r="D19" s="37">
        <f>INDEX('Income Statement - Data'!$C$3:$D$33,MATCH($B19,'Income Statement - Data'!$B$3:$B$33,0),MATCH('Profit &amp; loss'!D$11,'Income Statement - Data'!$C$2:$D$2,0))</f>
        <v>-90.6</v>
      </c>
      <c r="E19" s="37">
        <f>'Profit &amp; loss'!E22</f>
        <v>-93.848890997509173</v>
      </c>
      <c r="F19" s="37">
        <f>'Profit &amp; loss'!F22</f>
        <v>-95.819001304708792</v>
      </c>
      <c r="G19" s="37">
        <f>'Profit &amp; loss'!G22</f>
        <v>-97.73538133080298</v>
      </c>
      <c r="H19" s="37">
        <f>'Profit &amp; loss'!H22</f>
        <v>-99.69008895741905</v>
      </c>
      <c r="I19" s="37">
        <f>'Profit &amp; loss'!I22</f>
        <v>-101.78358082552485</v>
      </c>
    </row>
    <row r="20" spans="2:9" x14ac:dyDescent="0.25">
      <c r="B20" t="s">
        <v>25</v>
      </c>
      <c r="C20" s="37">
        <f>INDEX('Income Statement - Data'!$C$3:$D$33,MATCH($B20,'Income Statement - Data'!$B$3:$B$33,0),MATCH('Profit &amp; loss'!C$11,'Income Statement - Data'!$C$2:$D$2,0))</f>
        <v>-12</v>
      </c>
      <c r="D20" s="37">
        <f>INDEX('Income Statement - Data'!$C$3:$D$33,MATCH($B20,'Income Statement - Data'!$B$3:$B$33,0),MATCH('Profit &amp; loss'!D$11,'Income Statement - Data'!$C$2:$D$2,0))</f>
        <v>-70.400000000000006</v>
      </c>
      <c r="E20" s="37">
        <f>'Profit &amp; loss'!E23</f>
        <v>-72.924524572015969</v>
      </c>
      <c r="F20" s="37">
        <f>'Profit &amp; loss'!F23</f>
        <v>-74.45538291226822</v>
      </c>
      <c r="G20" s="37">
        <f>'Profit &amp; loss'!G23</f>
        <v>-75.94449057051358</v>
      </c>
      <c r="H20" s="37">
        <f>'Profit &amp; loss'!H23</f>
        <v>-77.463380381923855</v>
      </c>
      <c r="I20" s="37">
        <f>'Profit &amp; loss'!I23</f>
        <v>-79.090111369944267</v>
      </c>
    </row>
    <row r="21" spans="2:9" x14ac:dyDescent="0.25">
      <c r="B21" s="1" t="s">
        <v>26</v>
      </c>
      <c r="C21" s="37">
        <f>INDEX('Income Statement - Data'!$C$3:$D$33,MATCH($B21,'Income Statement - Data'!$B$3:$B$33,0),MATCH('Profit &amp; loss'!C$11,'Income Statement - Data'!$C$2:$D$2,0))</f>
        <v>-34.5</v>
      </c>
      <c r="D21" s="37">
        <f>INDEX('Income Statement - Data'!$C$3:$D$33,MATCH($B21,'Income Statement - Data'!$B$3:$B$33,0),MATCH('Profit &amp; loss'!D$11,'Income Statement - Data'!$C$2:$D$2,0))</f>
        <v>-36</v>
      </c>
      <c r="E21" s="37">
        <f>'Profit &amp; loss'!E24</f>
        <v>-37.290950065235435</v>
      </c>
      <c r="F21" s="37">
        <f>'Profit &amp; loss'!F24</f>
        <v>-38.073775352864423</v>
      </c>
      <c r="G21" s="37">
        <f>'Profit &amp; loss'!G24</f>
        <v>-38.835250859921707</v>
      </c>
      <c r="H21" s="37">
        <f>'Profit &amp; loss'!H24</f>
        <v>-39.611955877120145</v>
      </c>
      <c r="I21" s="37">
        <f>'Profit &amp; loss'!I24</f>
        <v>-40.443806950539674</v>
      </c>
    </row>
    <row r="22" spans="2:9" x14ac:dyDescent="0.25">
      <c r="B22" t="s">
        <v>27</v>
      </c>
      <c r="C22" s="37">
        <f>INDEX('Income Statement - Data'!$C$3:$D$33,MATCH($B22,'Income Statement - Data'!$B$3:$B$33,0),MATCH('Profit &amp; loss'!C$11,'Income Statement - Data'!$C$2:$D$2,0))</f>
        <v>-33.200000000000003</v>
      </c>
      <c r="D22" s="37">
        <f>INDEX('Income Statement - Data'!$C$3:$D$33,MATCH($B22,'Income Statement - Data'!$B$3:$B$33,0),MATCH('Profit &amp; loss'!D$11,'Income Statement - Data'!$C$2:$D$2,0))</f>
        <v>-30.8</v>
      </c>
      <c r="E22" s="37">
        <f>'Profit &amp; loss'!E25</f>
        <v>-31.904479500256986</v>
      </c>
      <c r="F22" s="37">
        <f>'Profit &amp; loss'!F25</f>
        <v>-32.574230024117341</v>
      </c>
      <c r="G22" s="37">
        <f>'Profit &amp; loss'!G25</f>
        <v>-33.225714624599689</v>
      </c>
      <c r="H22" s="37">
        <f>'Profit &amp; loss'!H25</f>
        <v>-33.890228917091683</v>
      </c>
      <c r="I22" s="37">
        <f>'Profit &amp; loss'!I25</f>
        <v>-34.601923724350613</v>
      </c>
    </row>
    <row r="23" spans="2:9" x14ac:dyDescent="0.25">
      <c r="B23" s="1" t="s">
        <v>28</v>
      </c>
      <c r="C23" s="37" t="str">
        <f>INDEX('Income Statement - Data'!$C$3:$D$33,MATCH($B23,'Income Statement - Data'!$B$3:$B$33,0),MATCH('Profit &amp; loss'!C$11,'Income Statement - Data'!$C$2:$D$2,0))</f>
        <v>–</v>
      </c>
      <c r="D23" s="37">
        <f>INDEX('Income Statement - Data'!$C$3:$D$33,MATCH($B23,'Income Statement - Data'!$B$3:$B$33,0),MATCH('Profit &amp; loss'!D$11,'Income Statement - Data'!$C$2:$D$2,0))</f>
        <v>-2.1</v>
      </c>
      <c r="E23" s="37">
        <f>'Profit &amp; loss'!E26</f>
        <v>-2.1753054204720672</v>
      </c>
      <c r="F23" s="37">
        <f>'Profit &amp; loss'!F26</f>
        <v>-2.2209702289170914</v>
      </c>
      <c r="G23" s="37">
        <f>'Profit &amp; loss'!G26</f>
        <v>-2.2653896334954333</v>
      </c>
      <c r="H23" s="37">
        <f>'Profit &amp; loss'!H26</f>
        <v>-2.3106974261653419</v>
      </c>
      <c r="I23" s="37">
        <f>'Profit &amp; loss'!I26</f>
        <v>-2.3592220721148145</v>
      </c>
    </row>
    <row r="24" spans="2:9" x14ac:dyDescent="0.25">
      <c r="B24" t="s">
        <v>29</v>
      </c>
      <c r="C24" s="37">
        <f>INDEX('Income Statement - Data'!$C$3:$D$33,MATCH($B24,'Income Statement - Data'!$B$3:$B$33,0),MATCH('Profit &amp; loss'!C$11,'Income Statement - Data'!$C$2:$D$2,0))</f>
        <v>5.0999999999999996</v>
      </c>
      <c r="D24" s="37">
        <f>INDEX('Income Statement - Data'!$C$3:$D$33,MATCH($B24,'Income Statement - Data'!$B$3:$B$33,0),MATCH('Profit &amp; loss'!D$11,'Income Statement - Data'!$C$2:$D$2,0))</f>
        <v>25.9</v>
      </c>
      <c r="E24" s="37">
        <f>'Profit &amp; loss'!E27</f>
        <v>0</v>
      </c>
      <c r="F24" s="37">
        <f>'Profit &amp; loss'!F27</f>
        <v>0</v>
      </c>
      <c r="G24" s="37">
        <f>'Profit &amp; loss'!G27</f>
        <v>0</v>
      </c>
      <c r="H24" s="37">
        <f>'Profit &amp; loss'!H27</f>
        <v>0</v>
      </c>
      <c r="I24" s="37">
        <f>'Profit &amp; loss'!I27</f>
        <v>0</v>
      </c>
    </row>
    <row r="25" spans="2:9" x14ac:dyDescent="0.25">
      <c r="B25" t="s">
        <v>30</v>
      </c>
      <c r="C25" s="37">
        <f>INDEX('Income Statement - Data'!$C$3:$D$33,MATCH($B25,'Income Statement - Data'!$B$3:$B$33,0),MATCH('Profit &amp; loss'!C$11,'Income Statement - Data'!$C$2:$D$2,0))</f>
        <v>-72.400000000000006</v>
      </c>
      <c r="D25" s="37">
        <f>INDEX('Income Statement - Data'!$C$3:$D$33,MATCH($B25,'Income Statement - Data'!$B$3:$B$33,0),MATCH('Profit &amp; loss'!D$11,'Income Statement - Data'!$C$2:$D$2,0))</f>
        <v>-69.7</v>
      </c>
      <c r="E25" s="37">
        <f>'Profit &amp; loss'!E28</f>
        <v>-72.19942276519194</v>
      </c>
      <c r="F25" s="37">
        <f>'Profit &amp; loss'!F28</f>
        <v>-73.715059502629188</v>
      </c>
      <c r="G25" s="37">
        <f>'Profit &amp; loss'!G28</f>
        <v>-75.18936069268176</v>
      </c>
      <c r="H25" s="37">
        <f>'Profit &amp; loss'!H28</f>
        <v>-76.693147906535415</v>
      </c>
      <c r="I25" s="37">
        <f>'Profit &amp; loss'!I28</f>
        <v>-78.303704012572652</v>
      </c>
    </row>
    <row r="26" spans="2:9" x14ac:dyDescent="0.25">
      <c r="B26" s="12" t="s">
        <v>61</v>
      </c>
      <c r="C26" s="27">
        <f>SUM(C9:C25)</f>
        <v>691.30000000000007</v>
      </c>
      <c r="D26" s="27">
        <f>SUM(D9:D25)</f>
        <v>772.60000000000014</v>
      </c>
      <c r="E26" s="27">
        <f ca="1">SUM(E9:E25)</f>
        <v>773.47645593642494</v>
      </c>
      <c r="F26" s="27">
        <f ca="1">SUM(F9:F25)</f>
        <v>789.71355711066383</v>
      </c>
      <c r="G26" s="27">
        <f t="shared" ref="G26:I26" ca="1" si="2">SUM(G9:G25)</f>
        <v>805.50782825287706</v>
      </c>
      <c r="H26" s="27">
        <f t="shared" ca="1" si="2"/>
        <v>821.61798481793437</v>
      </c>
      <c r="I26" s="27">
        <f t="shared" ca="1" si="2"/>
        <v>838.87196249911017</v>
      </c>
    </row>
    <row r="27" spans="2:9" x14ac:dyDescent="0.25">
      <c r="B27" t="s">
        <v>186</v>
      </c>
      <c r="C27" s="7">
        <f>'Profit &amp; loss'!C32</f>
        <v>-368.4</v>
      </c>
      <c r="D27" s="7">
        <f>'Profit &amp; loss'!D32</f>
        <v>-399.6</v>
      </c>
      <c r="E27" s="7">
        <f>'Profit &amp; loss'!E32</f>
        <v>-437.32044448529803</v>
      </c>
      <c r="F27" s="7">
        <f ca="1">'Profit &amp; loss'!F32</f>
        <v>-471.88960848717466</v>
      </c>
      <c r="G27" s="7">
        <f ca="1">'Profit &amp; loss'!G32</f>
        <v>-502.70316984993144</v>
      </c>
      <c r="H27" s="7">
        <f ca="1">'Profit &amp; loss'!H32</f>
        <v>-530.38300837039526</v>
      </c>
      <c r="I27" s="7">
        <f ca="1">'Profit &amp; loss'!I32</f>
        <v>-555.55292720866862</v>
      </c>
    </row>
    <row r="28" spans="2:9" x14ac:dyDescent="0.25">
      <c r="B28" s="12" t="s">
        <v>62</v>
      </c>
      <c r="C28" s="74">
        <f>SUM(C26:C27)</f>
        <v>322.90000000000009</v>
      </c>
      <c r="D28" s="74">
        <f t="shared" ref="D28:I28" si="3">SUM(D26:D27)</f>
        <v>373.00000000000011</v>
      </c>
      <c r="E28" s="74">
        <f t="shared" ca="1" si="3"/>
        <v>336.15601145112691</v>
      </c>
      <c r="F28" s="74">
        <f t="shared" ca="1" si="3"/>
        <v>317.82394862348917</v>
      </c>
      <c r="G28" s="74">
        <f t="shared" ca="1" si="3"/>
        <v>302.80465840294562</v>
      </c>
      <c r="H28" s="74">
        <f t="shared" ca="1" si="3"/>
        <v>291.23497644753911</v>
      </c>
      <c r="I28" s="74">
        <f t="shared" ca="1" si="3"/>
        <v>283.31903529044155</v>
      </c>
    </row>
    <row r="29" spans="2:9" x14ac:dyDescent="0.25">
      <c r="B29" s="8" t="s">
        <v>36</v>
      </c>
      <c r="C29" s="76">
        <f>'Profit &amp; loss'!C40</f>
        <v>-61.8</v>
      </c>
      <c r="D29" s="76">
        <f>'Profit &amp; loss'!D40</f>
        <v>-69.5</v>
      </c>
      <c r="E29" s="76">
        <f ca="1">'Profit &amp; loss'!E40</f>
        <v>-57.270982889745234</v>
      </c>
      <c r="F29" s="76">
        <f ca="1">'Profit &amp; loss'!F40</f>
        <v>-53.712682232462939</v>
      </c>
      <c r="G29" s="76">
        <f ca="1">'Profit &amp; loss'!G40</f>
        <v>-50.811483052488938</v>
      </c>
      <c r="H29" s="76">
        <f ca="1">'Profit &amp; loss'!H40</f>
        <v>-48.598919689520649</v>
      </c>
      <c r="I29" s="76">
        <f ca="1">'Profit &amp; loss'!I40</f>
        <v>-47.120317241442713</v>
      </c>
    </row>
    <row r="30" spans="2:9" x14ac:dyDescent="0.25">
      <c r="B30" s="12" t="s">
        <v>187</v>
      </c>
      <c r="C30" s="29">
        <f>C28*(1-WACC!$D$6)</f>
        <v>258.60751176028316</v>
      </c>
      <c r="D30" s="29">
        <f>D28*(1-WACC!$D$6)</f>
        <v>298.73212104857731</v>
      </c>
      <c r="E30" s="29">
        <f ca="1">E28*(1-WACC!$D$6)</f>
        <v>269.22412413947711</v>
      </c>
      <c r="F30" s="29">
        <f ca="1">F28*(1-WACC!$D$6)</f>
        <v>254.54215091777198</v>
      </c>
      <c r="G30" s="29">
        <f ca="1">G28*(1-WACC!$D$6)</f>
        <v>242.51334549088961</v>
      </c>
      <c r="H30" s="29">
        <f ca="1">H28*(1-WACC!$D$6)</f>
        <v>233.2472982244123</v>
      </c>
      <c r="I30" s="29">
        <f ca="1">I28*(1-WACC!$D$6)</f>
        <v>226.9074969054968</v>
      </c>
    </row>
    <row r="31" spans="2:9" x14ac:dyDescent="0.25">
      <c r="B31" t="s">
        <v>188</v>
      </c>
      <c r="C31" s="7"/>
      <c r="D31" s="7">
        <f t="shared" ref="D31:I31" si="4">-D27</f>
        <v>399.6</v>
      </c>
      <c r="E31" s="7">
        <f t="shared" si="4"/>
        <v>437.32044448529803</v>
      </c>
      <c r="F31" s="7">
        <f t="shared" ca="1" si="4"/>
        <v>471.88960848717466</v>
      </c>
      <c r="G31" s="7">
        <f t="shared" ca="1" si="4"/>
        <v>502.70316984993144</v>
      </c>
      <c r="H31" s="7">
        <f t="shared" ca="1" si="4"/>
        <v>530.38300837039526</v>
      </c>
      <c r="I31" s="7">
        <f t="shared" ca="1" si="4"/>
        <v>555.55292720866862</v>
      </c>
    </row>
    <row r="32" spans="2:9" x14ac:dyDescent="0.25">
      <c r="B32" t="s">
        <v>189</v>
      </c>
      <c r="C32" s="6"/>
      <c r="D32" s="6">
        <f>-'Fixed assets schedule'!D4</f>
        <v>-583.3000000000003</v>
      </c>
      <c r="E32" s="6">
        <f ca="1">-'Fixed assets schedule'!E4</f>
        <v>-604.21697702921779</v>
      </c>
      <c r="F32" s="6">
        <f ca="1">-'Fixed assets schedule'!F4</f>
        <v>-616.90092120349527</v>
      </c>
      <c r="G32" s="6">
        <f ca="1">-'Fixed assets schedule'!G4</f>
        <v>-629.23893962756517</v>
      </c>
      <c r="H32" s="6">
        <f ca="1">-'Fixed assets schedule'!H4</f>
        <v>-641.82371842011651</v>
      </c>
      <c r="I32" s="6">
        <f ca="1">-'Fixed assets schedule'!I4</f>
        <v>-655.30201650693891</v>
      </c>
    </row>
    <row r="33" spans="2:9" x14ac:dyDescent="0.25">
      <c r="B33" t="s">
        <v>190</v>
      </c>
      <c r="D33" s="75">
        <f>C34-D34</f>
        <v>-64.7999999999995</v>
      </c>
      <c r="E33" s="75">
        <f t="shared" ref="E33:F33" ca="1" si="5">D34-E34</f>
        <v>-2.2304748349346255</v>
      </c>
      <c r="F33" s="75">
        <f t="shared" ca="1" si="5"/>
        <v>-1.3525481358478828</v>
      </c>
      <c r="G33" s="75">
        <f t="shared" ref="G33" ca="1" si="6">F34-G34</f>
        <v>-1.3156604594162218</v>
      </c>
      <c r="H33" s="75">
        <f t="shared" ref="H33" ca="1" si="7">G34-H34</f>
        <v>-1.3419736686034867</v>
      </c>
      <c r="I33" s="75">
        <f t="shared" ref="I33" ca="1" si="8">H34-I34</f>
        <v>-1.4372537990748242</v>
      </c>
    </row>
    <row r="34" spans="2:9" x14ac:dyDescent="0.25">
      <c r="B34" s="5" t="s">
        <v>191</v>
      </c>
      <c r="C34" s="5">
        <f>C35-C36</f>
        <v>-132.70000000000016</v>
      </c>
      <c r="D34" s="5">
        <f t="shared" ref="D34:I34" si="9">D35-D36</f>
        <v>-67.900000000000659</v>
      </c>
      <c r="E34" s="5">
        <f t="shared" ca="1" si="9"/>
        <v>-65.669525165066034</v>
      </c>
      <c r="F34" s="5">
        <f t="shared" ca="1" si="9"/>
        <v>-64.316977029218151</v>
      </c>
      <c r="G34" s="111">
        <f t="shared" ca="1" si="9"/>
        <v>-63.001316569801929</v>
      </c>
      <c r="H34" s="111">
        <f t="shared" ca="1" si="9"/>
        <v>-61.659342901198443</v>
      </c>
      <c r="I34" s="111">
        <f t="shared" ca="1" si="9"/>
        <v>-60.222089102123618</v>
      </c>
    </row>
    <row r="35" spans="2:9" x14ac:dyDescent="0.25">
      <c r="B35" s="5" t="s">
        <v>192</v>
      </c>
      <c r="C35" s="5">
        <f>'balance sheet'!G11-'balance sheet'!G6</f>
        <v>1006.6999999999999</v>
      </c>
      <c r="D35" s="5">
        <f>'balance sheet'!H11-'balance sheet'!H6</f>
        <v>1016.3999999999997</v>
      </c>
      <c r="E35" s="5">
        <f ca="1">'balance sheet'!I11-'balance sheet'!I6</f>
        <v>1052.8478235084804</v>
      </c>
      <c r="F35" s="5">
        <f ca="1">'balance sheet'!J11-'balance sheet'!J6</f>
        <v>1074.9495907958722</v>
      </c>
      <c r="G35" s="111">
        <f ca="1">'balance sheet'!K11-'balance sheet'!K6</f>
        <v>1096.44858261179</v>
      </c>
      <c r="H35" s="111">
        <f ca="1">'balance sheet'!L11-'balance sheet'!L6</f>
        <v>1118.3775542640255</v>
      </c>
      <c r="I35" s="111">
        <f ca="1">'balance sheet'!M11-'balance sheet'!M6</f>
        <v>1141.86348290357</v>
      </c>
    </row>
    <row r="36" spans="2:9" x14ac:dyDescent="0.25">
      <c r="B36" s="5" t="s">
        <v>193</v>
      </c>
      <c r="C36" s="5">
        <f>'balance sheet'!G35-'balance sheet'!G27-'balance sheet'!G28-'balance sheet'!G29</f>
        <v>1139.4000000000001</v>
      </c>
      <c r="D36" s="5">
        <f>'balance sheet'!H35-'balance sheet'!H27-'balance sheet'!H28-'balance sheet'!H29</f>
        <v>1084.3000000000004</v>
      </c>
      <c r="E36" s="5">
        <f ca="1">'balance sheet'!I35-'balance sheet'!I27-'balance sheet'!I28-'balance sheet'!I29</f>
        <v>1118.5173486735464</v>
      </c>
      <c r="F36" s="5">
        <f ca="1">'balance sheet'!J35-'balance sheet'!J27-'balance sheet'!J28-'balance sheet'!J29</f>
        <v>1139.2665678250903</v>
      </c>
      <c r="G36" s="111">
        <f ca="1">'balance sheet'!K35-'balance sheet'!K27-'balance sheet'!K28-'balance sheet'!K29</f>
        <v>1159.4498991815919</v>
      </c>
      <c r="H36" s="111">
        <f ca="1">'balance sheet'!L35-'balance sheet'!L27-'balance sheet'!L28-'balance sheet'!L29</f>
        <v>1180.036897165224</v>
      </c>
      <c r="I36" s="111">
        <f ca="1">'balance sheet'!M35-'balance sheet'!M27-'balance sheet'!M28-'balance sheet'!M29</f>
        <v>1202.0855720056936</v>
      </c>
    </row>
    <row r="37" spans="2:9" x14ac:dyDescent="0.25">
      <c r="B37" s="30" t="s">
        <v>194</v>
      </c>
      <c r="C37" s="30"/>
      <c r="D37" s="45">
        <f>D30+D31+D32+D33</f>
        <v>50.232121048577596</v>
      </c>
      <c r="E37" s="45">
        <f ca="1">E30+E31+E32+E33</f>
        <v>100.09711676062273</v>
      </c>
      <c r="F37" s="45">
        <f ca="1">F30+F31+F32+F33</f>
        <v>108.17829006560351</v>
      </c>
      <c r="G37" s="45">
        <f t="shared" ref="G37:I37" ca="1" si="10">G30+G31+G32+G33</f>
        <v>114.66191525383965</v>
      </c>
      <c r="H37" s="45">
        <f t="shared" ca="1" si="10"/>
        <v>120.46461450608751</v>
      </c>
      <c r="I37" s="45">
        <f t="shared" ca="1" si="10"/>
        <v>125.72115380815171</v>
      </c>
    </row>
    <row r="38" spans="2:9" x14ac:dyDescent="0.25">
      <c r="G38" s="75"/>
      <c r="H38" s="75"/>
      <c r="I38" s="75"/>
    </row>
    <row r="39" spans="2:9" x14ac:dyDescent="0.25">
      <c r="G39" s="75"/>
      <c r="H39" s="75"/>
      <c r="I39" s="75"/>
    </row>
    <row r="40" spans="2:9" x14ac:dyDescent="0.25">
      <c r="G40" s="75"/>
      <c r="H40" s="75"/>
      <c r="I40" s="75"/>
    </row>
    <row r="41" spans="2:9" x14ac:dyDescent="0.25">
      <c r="B41" s="42" t="s">
        <v>181</v>
      </c>
      <c r="C41" s="42"/>
      <c r="D41" s="42"/>
      <c r="E41" s="42"/>
      <c r="F41" s="42"/>
      <c r="G41" s="42"/>
      <c r="H41" s="42"/>
      <c r="I41" s="42"/>
    </row>
    <row r="42" spans="2:9" x14ac:dyDescent="0.25">
      <c r="B42" s="33" t="s">
        <v>182</v>
      </c>
      <c r="C42" s="70">
        <f t="shared" ref="C42:I42" si="11">YEAR(C43)</f>
        <v>2024</v>
      </c>
      <c r="D42" s="70">
        <f t="shared" si="11"/>
        <v>2025</v>
      </c>
      <c r="E42" s="71">
        <f t="shared" si="11"/>
        <v>2026</v>
      </c>
      <c r="F42" s="71">
        <f t="shared" si="11"/>
        <v>2027</v>
      </c>
      <c r="G42" s="71">
        <f t="shared" si="11"/>
        <v>2028</v>
      </c>
      <c r="H42" s="71">
        <f t="shared" si="11"/>
        <v>2029</v>
      </c>
      <c r="I42" s="71">
        <f t="shared" si="11"/>
        <v>2030</v>
      </c>
    </row>
    <row r="43" spans="2:9" x14ac:dyDescent="0.25">
      <c r="B43" s="72" t="s">
        <v>183</v>
      </c>
      <c r="C43" s="73">
        <v>45657</v>
      </c>
      <c r="D43" s="73">
        <v>46022</v>
      </c>
      <c r="E43" s="73">
        <f>EDATE(D43,12)</f>
        <v>46387</v>
      </c>
      <c r="F43" s="73">
        <f t="shared" ref="F43" si="12">EDATE(E43,12)</f>
        <v>46752</v>
      </c>
      <c r="G43" s="73">
        <f t="shared" ref="G43" si="13">EDATE(F43,12)</f>
        <v>47118</v>
      </c>
      <c r="H43" s="73">
        <f t="shared" ref="H43" si="14">EDATE(G43,12)</f>
        <v>47483</v>
      </c>
      <c r="I43" s="73">
        <f t="shared" ref="I43" si="15">EDATE(H43,12)</f>
        <v>47848</v>
      </c>
    </row>
    <row r="44" spans="2:9" x14ac:dyDescent="0.25">
      <c r="B44" t="s">
        <v>196</v>
      </c>
      <c r="E44" s="43">
        <f ca="1">E37</f>
        <v>100.09711676062273</v>
      </c>
      <c r="F44" s="43">
        <f ca="1">F37</f>
        <v>108.17829006560351</v>
      </c>
      <c r="G44" s="43">
        <f t="shared" ref="G44:I44" ca="1" si="16">G37</f>
        <v>114.66191525383965</v>
      </c>
      <c r="H44" s="43">
        <f t="shared" ca="1" si="16"/>
        <v>120.46461450608751</v>
      </c>
      <c r="I44" s="43">
        <f t="shared" ca="1" si="16"/>
        <v>125.72115380815171</v>
      </c>
    </row>
    <row r="45" spans="2:9" x14ac:dyDescent="0.25">
      <c r="B45" t="s">
        <v>197</v>
      </c>
      <c r="E45">
        <v>1</v>
      </c>
      <c r="F45">
        <v>2</v>
      </c>
      <c r="G45">
        <v>3</v>
      </c>
      <c r="H45">
        <v>4</v>
      </c>
      <c r="I45">
        <v>5</v>
      </c>
    </row>
    <row r="46" spans="2:9" x14ac:dyDescent="0.25">
      <c r="B46" s="77" t="s">
        <v>198</v>
      </c>
      <c r="C46" s="77"/>
      <c r="D46" s="77"/>
      <c r="E46" s="85">
        <f ca="1">E37/(1+WACC!D18)^1</f>
        <v>96.032478740151547</v>
      </c>
      <c r="F46" s="85">
        <f ca="1">F44/(1+WACC!$D$18)^'Unlevered cash flow'!F45</f>
        <v>99.571088288608905</v>
      </c>
      <c r="G46" s="85">
        <f ca="1">G44/(1+WACC!$D$18)^'Unlevered cash flow'!G45</f>
        <v>101.25323413388995</v>
      </c>
      <c r="H46" s="85">
        <f ca="1">H44/(1+WACC!$D$18)^'Unlevered cash flow'!H45</f>
        <v>102.05770032786643</v>
      </c>
      <c r="I46" s="85">
        <f ca="1">I44/(1+WACC!$D$18)^'Unlevered cash flow'!I45</f>
        <v>102.18595586850981</v>
      </c>
    </row>
    <row r="48" spans="2:9" x14ac:dyDescent="0.25">
      <c r="B48" s="8" t="s">
        <v>216</v>
      </c>
      <c r="C48" s="60">
        <f ca="1">SUM(E46:I46)</f>
        <v>501.10045735902668</v>
      </c>
    </row>
    <row r="52" spans="2:9" x14ac:dyDescent="0.25">
      <c r="B52" s="42" t="s">
        <v>217</v>
      </c>
      <c r="C52" s="78"/>
      <c r="F52" s="42" t="s">
        <v>218</v>
      </c>
      <c r="G52" s="78"/>
      <c r="H52" s="78"/>
      <c r="I52" s="78"/>
    </row>
    <row r="53" spans="2:9" x14ac:dyDescent="0.25">
      <c r="B53" t="s">
        <v>219</v>
      </c>
      <c r="C53" s="43">
        <f ca="1">SUM(E46:I46)</f>
        <v>501.10045735902668</v>
      </c>
      <c r="F53" t="s">
        <v>219</v>
      </c>
      <c r="I53" s="43">
        <f ca="1">C48</f>
        <v>501.10045735902668</v>
      </c>
    </row>
    <row r="54" spans="2:9" x14ac:dyDescent="0.25">
      <c r="B54" t="s">
        <v>220</v>
      </c>
      <c r="C54" s="1">
        <f ca="1">I26</f>
        <v>838.87196249911017</v>
      </c>
      <c r="F54" t="s">
        <v>221</v>
      </c>
      <c r="I54" s="31">
        <v>0.02</v>
      </c>
    </row>
    <row r="55" spans="2:9" x14ac:dyDescent="0.25">
      <c r="B55" t="s">
        <v>222</v>
      </c>
      <c r="C55" s="86">
        <f>'COMPARABLE COMPANIES'!B6</f>
        <v>2.8482165008562825</v>
      </c>
      <c r="F55" t="s">
        <v>223</v>
      </c>
      <c r="I55">
        <f>WACC!D18</f>
        <v>4.2325659753815532E-2</v>
      </c>
    </row>
    <row r="56" spans="2:9" x14ac:dyDescent="0.25">
      <c r="B56" t="s">
        <v>223</v>
      </c>
      <c r="C56" s="2">
        <f>WACC!D18</f>
        <v>4.2325659753815532E-2</v>
      </c>
      <c r="F56" t="s">
        <v>224</v>
      </c>
      <c r="I56" s="60">
        <f ca="1">I44*(1+I54)</f>
        <v>128.23557688431475</v>
      </c>
    </row>
    <row r="57" spans="2:9" x14ac:dyDescent="0.25">
      <c r="B57" t="s">
        <v>225</v>
      </c>
      <c r="C57" s="1">
        <f ca="1">C54*C55</f>
        <v>2389.2889656956581</v>
      </c>
      <c r="F57" t="s">
        <v>225</v>
      </c>
      <c r="I57" s="60">
        <f ca="1">I56/(I55-I54)</f>
        <v>5743.8650547560574</v>
      </c>
    </row>
    <row r="58" spans="2:9" x14ac:dyDescent="0.25">
      <c r="B58" t="s">
        <v>226</v>
      </c>
      <c r="C58" s="1">
        <f ca="1">C57/(1+C56)^$I$45</f>
        <v>1942.0103094047747</v>
      </c>
      <c r="F58" t="s">
        <v>226</v>
      </c>
      <c r="I58" s="1">
        <f ca="1">I57/(1+I55)^I45</f>
        <v>4668.6044728450543</v>
      </c>
    </row>
    <row r="59" spans="2:9" x14ac:dyDescent="0.25">
      <c r="B59" s="30" t="s">
        <v>227</v>
      </c>
      <c r="C59" s="87">
        <f ca="1">C58+C53</f>
        <v>2443.1107667638016</v>
      </c>
      <c r="F59" s="30" t="s">
        <v>227</v>
      </c>
      <c r="G59" s="30"/>
      <c r="H59" s="30"/>
      <c r="I59" s="94">
        <f ca="1">I58+I53</f>
        <v>5169.7049302040814</v>
      </c>
    </row>
    <row r="61" spans="2:9" x14ac:dyDescent="0.25">
      <c r="B61" s="42" t="s">
        <v>236</v>
      </c>
      <c r="C61" s="78"/>
      <c r="F61" s="42" t="s">
        <v>570</v>
      </c>
      <c r="G61" s="78"/>
    </row>
    <row r="62" spans="2:9" x14ac:dyDescent="0.25">
      <c r="B62" t="s">
        <v>227</v>
      </c>
      <c r="C62" s="43">
        <f ca="1">I59</f>
        <v>5169.7049302040814</v>
      </c>
      <c r="F62" t="s">
        <v>245</v>
      </c>
      <c r="G62" s="101">
        <v>2166763244</v>
      </c>
    </row>
    <row r="63" spans="2:9" x14ac:dyDescent="0.25">
      <c r="B63" s="95" t="s">
        <v>237</v>
      </c>
      <c r="C63" s="1">
        <f>'balance sheet'!H6</f>
        <v>868.4</v>
      </c>
      <c r="F63" s="95" t="s">
        <v>248</v>
      </c>
      <c r="G63" s="101">
        <v>684669</v>
      </c>
    </row>
    <row r="64" spans="2:9" x14ac:dyDescent="0.25">
      <c r="B64" s="95" t="s">
        <v>238</v>
      </c>
      <c r="C64" s="1">
        <f>SUM('balance sheet'!H27:H29,'balance sheet'!H38:H40)</f>
        <v>1821.5</v>
      </c>
      <c r="F64" s="95" t="s">
        <v>246</v>
      </c>
      <c r="G64" s="1">
        <v>0</v>
      </c>
    </row>
    <row r="65" spans="1:7" x14ac:dyDescent="0.25">
      <c r="B65" s="95" t="s">
        <v>239</v>
      </c>
      <c r="C65">
        <f>'balance sheet'!H56</f>
        <v>385.2</v>
      </c>
      <c r="F65" s="95" t="s">
        <v>247</v>
      </c>
      <c r="G65">
        <v>0</v>
      </c>
    </row>
    <row r="66" spans="1:7" x14ac:dyDescent="0.25">
      <c r="B66" s="95" t="s">
        <v>240</v>
      </c>
      <c r="C66">
        <v>0</v>
      </c>
      <c r="F66" s="30" t="s">
        <v>568</v>
      </c>
      <c r="G66" s="51">
        <f>SUM(G62:G65)</f>
        <v>2167447913</v>
      </c>
    </row>
    <row r="67" spans="1:7" x14ac:dyDescent="0.25">
      <c r="B67" s="95" t="s">
        <v>241</v>
      </c>
      <c r="C67">
        <v>0</v>
      </c>
    </row>
    <row r="68" spans="1:7" x14ac:dyDescent="0.25">
      <c r="B68" s="12" t="s">
        <v>242</v>
      </c>
      <c r="C68" s="96">
        <f ca="1">C62+C63-C64-C65</f>
        <v>3831.4049302040812</v>
      </c>
    </row>
    <row r="69" spans="1:7" x14ac:dyDescent="0.25">
      <c r="B69" t="s">
        <v>243</v>
      </c>
      <c r="C69" s="101">
        <f>G66</f>
        <v>2167447913</v>
      </c>
    </row>
    <row r="70" spans="1:7" x14ac:dyDescent="0.25">
      <c r="B70" s="30" t="s">
        <v>244</v>
      </c>
      <c r="C70" s="112">
        <f ca="1">C68*1000000/C69</f>
        <v>1.7677033469750012</v>
      </c>
    </row>
    <row r="75" spans="1:7" x14ac:dyDescent="0.25">
      <c r="B75" s="42" t="s">
        <v>249</v>
      </c>
      <c r="C75" s="78"/>
      <c r="D75" s="42"/>
      <c r="E75" s="78"/>
      <c r="F75" s="42"/>
      <c r="G75" s="78"/>
    </row>
    <row r="78" spans="1:7" x14ac:dyDescent="0.25">
      <c r="A78" s="102"/>
      <c r="D78" s="8" t="s">
        <v>569</v>
      </c>
    </row>
    <row r="79" spans="1:7" x14ac:dyDescent="0.25">
      <c r="A79" s="103" t="s">
        <v>223</v>
      </c>
      <c r="B79" s="60">
        <f ca="1">C70</f>
        <v>1.7677033469750012</v>
      </c>
      <c r="C79" s="97">
        <f>D79-1</f>
        <v>0.84821650085628253</v>
      </c>
      <c r="D79" s="97">
        <f>E79-1</f>
        <v>1.8482165008562825</v>
      </c>
      <c r="E79" s="99">
        <f>C55</f>
        <v>2.8482165008562825</v>
      </c>
      <c r="F79" s="97">
        <f>E79+1</f>
        <v>3.8482165008562825</v>
      </c>
      <c r="G79" s="97">
        <f>F79+1</f>
        <v>4.8482165008562825</v>
      </c>
    </row>
    <row r="80" spans="1:7" x14ac:dyDescent="0.25">
      <c r="A80" s="102"/>
      <c r="B80" s="98">
        <f>B81+0.01</f>
        <v>6.2325659753815536E-2</v>
      </c>
      <c r="C80">
        <f t="dataTable" ref="C80:G84" dt2D="1" dtr="1" r1="C55" r2="C56" ca="1"/>
        <v>1.7677033469750012</v>
      </c>
      <c r="D80">
        <v>1.7677033469750012</v>
      </c>
      <c r="E80">
        <v>1.7677033469750012</v>
      </c>
      <c r="F80">
        <v>1.7677033469750012</v>
      </c>
      <c r="G80">
        <v>1.7677033469750012</v>
      </c>
    </row>
    <row r="81" spans="1:7" x14ac:dyDescent="0.25">
      <c r="A81" s="102"/>
      <c r="B81" s="98">
        <f>B82+0.01</f>
        <v>5.2325659753815534E-2</v>
      </c>
      <c r="C81">
        <v>1.7677033469750012</v>
      </c>
      <c r="D81">
        <v>1.7677033469750012</v>
      </c>
      <c r="E81">
        <v>1.7677033469750012</v>
      </c>
      <c r="F81">
        <v>1.7677033469750012</v>
      </c>
      <c r="G81">
        <v>1.7677033469750012</v>
      </c>
    </row>
    <row r="82" spans="1:7" x14ac:dyDescent="0.25">
      <c r="B82" s="100">
        <f>I55</f>
        <v>4.2325659753815532E-2</v>
      </c>
      <c r="C82">
        <v>1.7677033469750012</v>
      </c>
      <c r="D82">
        <v>1.7677033469750012</v>
      </c>
      <c r="E82">
        <v>1.7677033469750012</v>
      </c>
      <c r="F82">
        <v>1.7677033469750012</v>
      </c>
      <c r="G82">
        <v>1.7677033469750012</v>
      </c>
    </row>
    <row r="83" spans="1:7" x14ac:dyDescent="0.25">
      <c r="B83" s="98">
        <f>B82-0.01</f>
        <v>3.232565975381553E-2</v>
      </c>
      <c r="C83">
        <v>1.7677033469750012</v>
      </c>
      <c r="D83">
        <v>1.7677033469750012</v>
      </c>
      <c r="E83">
        <v>1.7677033469750012</v>
      </c>
      <c r="F83">
        <v>1.7677033469750012</v>
      </c>
      <c r="G83">
        <v>1.7677033469750012</v>
      </c>
    </row>
    <row r="84" spans="1:7" x14ac:dyDescent="0.25">
      <c r="B84" s="98">
        <f>B83-0.01</f>
        <v>2.2325659753815529E-2</v>
      </c>
      <c r="C84">
        <v>1.7677033469750012</v>
      </c>
      <c r="D84">
        <v>1.7677033469750012</v>
      </c>
      <c r="E84">
        <v>1.7677033469750012</v>
      </c>
      <c r="F84">
        <v>1.7677033469750012</v>
      </c>
      <c r="G84">
        <v>1.7677033469750012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FDDF-2085-4347-BA9A-4D30504DA230}">
  <dimension ref="B2:I18"/>
  <sheetViews>
    <sheetView workbookViewId="0">
      <selection activeCell="D12" sqref="D12"/>
    </sheetView>
  </sheetViews>
  <sheetFormatPr defaultRowHeight="15" x14ac:dyDescent="0.25"/>
  <cols>
    <col min="2" max="2" width="39.140625" bestFit="1" customWidth="1"/>
    <col min="4" max="4" width="30.42578125" customWidth="1"/>
    <col min="5" max="5" width="20.42578125" bestFit="1" customWidth="1"/>
    <col min="6" max="6" width="19.42578125" customWidth="1"/>
  </cols>
  <sheetData>
    <row r="2" spans="2:9" x14ac:dyDescent="0.25">
      <c r="B2" s="42" t="s">
        <v>199</v>
      </c>
      <c r="C2" s="78"/>
      <c r="D2" s="78"/>
      <c r="E2" s="78"/>
      <c r="F2" s="78"/>
      <c r="G2" s="78"/>
      <c r="H2" s="78"/>
      <c r="I2" s="78"/>
    </row>
    <row r="4" spans="2:9" x14ac:dyDescent="0.25">
      <c r="B4" s="79" t="s">
        <v>200</v>
      </c>
      <c r="C4" s="79"/>
      <c r="D4" s="79"/>
      <c r="F4" s="79" t="s">
        <v>201</v>
      </c>
      <c r="G4" s="79"/>
      <c r="H4" s="79"/>
    </row>
    <row r="5" spans="2:9" x14ac:dyDescent="0.25">
      <c r="B5" t="s">
        <v>202</v>
      </c>
      <c r="C5" s="80"/>
      <c r="D5" s="2">
        <f>-'Profit &amp; loss'!D37/('debt schedule'!C5+'debt schedule'!C11)</f>
        <v>2.8987098545155094E-2</v>
      </c>
      <c r="F5" t="s">
        <v>203</v>
      </c>
      <c r="G5" s="80">
        <v>2.8000000000000001E-2</v>
      </c>
    </row>
    <row r="6" spans="2:9" x14ac:dyDescent="0.25">
      <c r="B6" t="s">
        <v>204</v>
      </c>
      <c r="C6" s="80"/>
      <c r="D6" s="2">
        <f>'Profit &amp; loss'!E105</f>
        <v>0.19910959504402892</v>
      </c>
      <c r="F6" t="s">
        <v>205</v>
      </c>
      <c r="G6" s="81">
        <f>'beta calculation'!Q5</f>
        <v>0.59520093089099124</v>
      </c>
    </row>
    <row r="7" spans="2:9" x14ac:dyDescent="0.25">
      <c r="B7" s="8" t="s">
        <v>206</v>
      </c>
      <c r="C7" s="82"/>
      <c r="D7" s="2">
        <f>D5*(1-D6)</f>
        <v>2.3215489092327905E-2</v>
      </c>
      <c r="F7" t="s">
        <v>207</v>
      </c>
      <c r="G7" s="80"/>
      <c r="H7" s="2">
        <v>4.2299999999999997E-2</v>
      </c>
    </row>
    <row r="8" spans="2:9" x14ac:dyDescent="0.25">
      <c r="F8" s="8" t="s">
        <v>208</v>
      </c>
      <c r="G8" s="82"/>
      <c r="H8" s="2">
        <f>G5+G6*H7</f>
        <v>5.3176999376688933E-2</v>
      </c>
    </row>
    <row r="10" spans="2:9" x14ac:dyDescent="0.25">
      <c r="B10" t="s">
        <v>209</v>
      </c>
    </row>
    <row r="12" spans="2:9" x14ac:dyDescent="0.25">
      <c r="B12" t="s">
        <v>210</v>
      </c>
      <c r="D12" s="1">
        <f>2167447913*'Unlevered cash flow'!C3</f>
        <v>3207822911.2399998</v>
      </c>
    </row>
    <row r="13" spans="2:9" x14ac:dyDescent="0.25">
      <c r="B13" t="s">
        <v>211</v>
      </c>
      <c r="D13" s="1">
        <f>('debt schedule'!C5+'debt schedule'!C11)*1000000</f>
        <v>1821499999.9999998</v>
      </c>
    </row>
    <row r="14" spans="2:9" x14ac:dyDescent="0.25">
      <c r="B14" s="8" t="s">
        <v>213</v>
      </c>
      <c r="C14" s="8"/>
      <c r="D14" s="83">
        <f>SUM(D12:D13)</f>
        <v>5029322911.2399998</v>
      </c>
    </row>
    <row r="15" spans="2:9" x14ac:dyDescent="0.25">
      <c r="B15" s="8"/>
      <c r="C15" s="8"/>
      <c r="D15" s="83"/>
    </row>
    <row r="16" spans="2:9" x14ac:dyDescent="0.25">
      <c r="B16" s="8" t="s">
        <v>214</v>
      </c>
      <c r="C16" s="8"/>
      <c r="D16" s="2">
        <f>D12/D14</f>
        <v>0.63782401087646567</v>
      </c>
    </row>
    <row r="17" spans="2:4" x14ac:dyDescent="0.25">
      <c r="B17" s="8" t="s">
        <v>215</v>
      </c>
      <c r="C17" s="8"/>
      <c r="D17" s="2">
        <f>D13/D14</f>
        <v>0.36217598912353427</v>
      </c>
    </row>
    <row r="18" spans="2:4" x14ac:dyDescent="0.25">
      <c r="B18" s="61" t="s">
        <v>212</v>
      </c>
      <c r="C18" s="61"/>
      <c r="D18" s="84">
        <f>D16*H8+D17*D7</f>
        <v>4.2325659753815532E-2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6E5F-3B1D-49C4-96E6-3EFD14424055}">
  <dimension ref="A1:F13"/>
  <sheetViews>
    <sheetView workbookViewId="0">
      <selection activeCell="F8" sqref="F8"/>
    </sheetView>
  </sheetViews>
  <sheetFormatPr defaultRowHeight="15" x14ac:dyDescent="0.25"/>
  <cols>
    <col min="1" max="1" width="18.85546875" bestFit="1" customWidth="1"/>
    <col min="2" max="2" width="12.5703125" bestFit="1" customWidth="1"/>
    <col min="6" max="6" width="17.5703125" bestFit="1" customWidth="1"/>
  </cols>
  <sheetData>
    <row r="1" spans="1:6" x14ac:dyDescent="0.25">
      <c r="A1" s="42" t="s">
        <v>228</v>
      </c>
      <c r="B1" s="42" t="s">
        <v>229</v>
      </c>
    </row>
    <row r="2" spans="1:6" x14ac:dyDescent="0.25">
      <c r="A2" t="s">
        <v>232</v>
      </c>
      <c r="B2" s="88">
        <f>F4/F3</f>
        <v>2.8482165008562825</v>
      </c>
      <c r="E2" s="79" t="s">
        <v>232</v>
      </c>
      <c r="F2" s="66"/>
    </row>
    <row r="3" spans="1:6" x14ac:dyDescent="0.25">
      <c r="A3" t="s">
        <v>233</v>
      </c>
      <c r="B3" s="88">
        <f>F8/F7</f>
        <v>2.3947860505477307</v>
      </c>
      <c r="E3" t="s">
        <v>61</v>
      </c>
      <c r="F3" s="93">
        <f>464.8*1000000</f>
        <v>464800000</v>
      </c>
    </row>
    <row r="4" spans="1:6" x14ac:dyDescent="0.25">
      <c r="A4" t="s">
        <v>234</v>
      </c>
      <c r="B4" s="89">
        <f>F13/F12</f>
        <v>6.6296784378324967</v>
      </c>
      <c r="E4" t="s">
        <v>235</v>
      </c>
      <c r="F4" s="93">
        <f>(614086377*17.4/100)+(1249000000+346300000)-425600000+47300000</f>
        <v>1323851029.598</v>
      </c>
    </row>
    <row r="5" spans="1:6" x14ac:dyDescent="0.25">
      <c r="A5" s="61" t="s">
        <v>230</v>
      </c>
      <c r="B5" s="90">
        <f>AVERAGE(B2:B4)</f>
        <v>3.9575603297455033</v>
      </c>
    </row>
    <row r="6" spans="1:6" x14ac:dyDescent="0.25">
      <c r="A6" s="91" t="s">
        <v>231</v>
      </c>
      <c r="B6" s="92">
        <f>MEDIAN(B2:B4)</f>
        <v>2.8482165008562825</v>
      </c>
      <c r="E6" s="79" t="s">
        <v>233</v>
      </c>
      <c r="F6" s="66"/>
    </row>
    <row r="7" spans="1:6" x14ac:dyDescent="0.25">
      <c r="E7" t="s">
        <v>61</v>
      </c>
      <c r="F7" s="7">
        <f>702.9*1000000</f>
        <v>702900000</v>
      </c>
    </row>
    <row r="8" spans="1:6" x14ac:dyDescent="0.25">
      <c r="E8" t="s">
        <v>235</v>
      </c>
      <c r="F8" s="7">
        <f>(570695015*1.662)+(447100000+710200000)-432000000+9500000</f>
        <v>1683295114.9299998</v>
      </c>
    </row>
    <row r="11" spans="1:6" x14ac:dyDescent="0.25">
      <c r="E11" s="79" t="s">
        <v>234</v>
      </c>
      <c r="F11" s="79"/>
    </row>
    <row r="12" spans="1:6" x14ac:dyDescent="0.25">
      <c r="E12" t="s">
        <v>61</v>
      </c>
      <c r="F12" s="7">
        <f>315792*1000</f>
        <v>315792000</v>
      </c>
    </row>
    <row r="13" spans="1:6" x14ac:dyDescent="0.25">
      <c r="E13" t="s">
        <v>235</v>
      </c>
      <c r="F13" s="7">
        <f>(271656692*4.47)+(9838000+42313000+801903000+68873000+132694000)-176330000+3000</f>
        <v>2093599413.2399998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D81B-4085-492B-955D-A9512F61BFA2}">
  <dimension ref="A1:AT63"/>
  <sheetViews>
    <sheetView topLeftCell="A13" workbookViewId="0">
      <selection activeCell="H1" sqref="H1"/>
    </sheetView>
  </sheetViews>
  <sheetFormatPr defaultRowHeight="15" x14ac:dyDescent="0.25"/>
  <cols>
    <col min="1" max="1" width="13" customWidth="1"/>
    <col min="9" max="9" width="12.140625" customWidth="1"/>
    <col min="16" max="16" width="46" bestFit="1" customWidth="1"/>
    <col min="18" max="18" width="24.5703125" bestFit="1" customWidth="1"/>
    <col min="19" max="19" width="13.140625" customWidth="1"/>
    <col min="28" max="28" width="11.42578125" customWidth="1"/>
    <col min="37" max="37" width="14.28515625" customWidth="1"/>
  </cols>
  <sheetData>
    <row r="1" spans="1:46" x14ac:dyDescent="0.25">
      <c r="A1" s="114" t="s">
        <v>250</v>
      </c>
      <c r="B1" s="114"/>
      <c r="C1" s="114"/>
      <c r="D1" s="114"/>
      <c r="E1" s="114"/>
      <c r="F1" s="114"/>
      <c r="G1" s="114"/>
      <c r="I1" s="114" t="s">
        <v>318</v>
      </c>
      <c r="J1" s="114"/>
      <c r="K1" s="114"/>
      <c r="L1" s="114"/>
      <c r="M1" s="114"/>
      <c r="N1" s="114"/>
      <c r="O1" s="114"/>
      <c r="S1" s="114" t="s">
        <v>442</v>
      </c>
      <c r="T1" s="114"/>
      <c r="U1" s="114"/>
      <c r="V1" s="114"/>
      <c r="W1" s="114"/>
      <c r="X1" s="114"/>
      <c r="Y1" s="114"/>
      <c r="AB1" s="114" t="s">
        <v>502</v>
      </c>
      <c r="AC1" s="114"/>
      <c r="AD1" s="114"/>
      <c r="AE1" s="114"/>
      <c r="AF1" s="114"/>
      <c r="AG1" s="114"/>
      <c r="AH1" s="114"/>
      <c r="AK1" s="114" t="s">
        <v>232</v>
      </c>
      <c r="AL1" s="114"/>
      <c r="AM1" s="114"/>
      <c r="AN1" s="114"/>
      <c r="AO1" s="114"/>
      <c r="AP1" s="114"/>
      <c r="AQ1" s="114"/>
    </row>
    <row r="2" spans="1:46" x14ac:dyDescent="0.25">
      <c r="A2" s="31" t="s">
        <v>251</v>
      </c>
      <c r="B2" s="31" t="s">
        <v>252</v>
      </c>
      <c r="C2" s="31" t="s">
        <v>253</v>
      </c>
      <c r="D2" s="31" t="s">
        <v>254</v>
      </c>
      <c r="E2" s="31" t="s">
        <v>255</v>
      </c>
      <c r="F2" s="31" t="s">
        <v>256</v>
      </c>
      <c r="G2" s="31" t="s">
        <v>380</v>
      </c>
      <c r="H2" s="31"/>
      <c r="I2" s="31" t="s">
        <v>251</v>
      </c>
      <c r="J2" s="31" t="s">
        <v>252</v>
      </c>
      <c r="K2" s="31" t="s">
        <v>253</v>
      </c>
      <c r="L2" s="31" t="s">
        <v>254</v>
      </c>
      <c r="M2" s="31" t="s">
        <v>255</v>
      </c>
      <c r="N2" s="31" t="s">
        <v>256</v>
      </c>
      <c r="O2" s="31" t="s">
        <v>380</v>
      </c>
      <c r="P2" s="108" t="s">
        <v>567</v>
      </c>
      <c r="Q2">
        <f>SLOPE(O3:O63,G3:G63)</f>
        <v>0.56673748790725287</v>
      </c>
      <c r="R2" s="2"/>
      <c r="S2" s="31" t="s">
        <v>251</v>
      </c>
      <c r="T2" s="31" t="s">
        <v>252</v>
      </c>
      <c r="U2" s="31" t="s">
        <v>253</v>
      </c>
      <c r="V2" s="31" t="s">
        <v>254</v>
      </c>
      <c r="W2" s="31" t="s">
        <v>255</v>
      </c>
      <c r="X2" s="31" t="s">
        <v>256</v>
      </c>
      <c r="Y2" s="31" t="s">
        <v>257</v>
      </c>
      <c r="Z2" s="107" t="s">
        <v>381</v>
      </c>
      <c r="AA2">
        <f>SLOPE(Y3:Y63,G3:G63)</f>
        <v>0.7517124637493322</v>
      </c>
      <c r="AB2" s="31" t="s">
        <v>251</v>
      </c>
      <c r="AC2" s="31" t="s">
        <v>252</v>
      </c>
      <c r="AD2" s="31" t="s">
        <v>253</v>
      </c>
      <c r="AE2" s="31" t="s">
        <v>254</v>
      </c>
      <c r="AF2" s="31" t="s">
        <v>255</v>
      </c>
      <c r="AG2" s="31" t="s">
        <v>256</v>
      </c>
      <c r="AH2" s="31" t="s">
        <v>257</v>
      </c>
      <c r="AI2" s="107" t="s">
        <v>563</v>
      </c>
      <c r="AJ2">
        <f>SLOPE(AH3:AH63,G3:G63)</f>
        <v>0.34260011499870624</v>
      </c>
      <c r="AK2" s="31" t="s">
        <v>251</v>
      </c>
      <c r="AL2" s="31" t="s">
        <v>252</v>
      </c>
      <c r="AM2" s="31" t="s">
        <v>253</v>
      </c>
      <c r="AN2" s="31" t="s">
        <v>254</v>
      </c>
      <c r="AO2" s="31" t="s">
        <v>255</v>
      </c>
      <c r="AP2" s="31" t="s">
        <v>256</v>
      </c>
      <c r="AQ2" s="31" t="s">
        <v>257</v>
      </c>
      <c r="AS2" s="31" t="s">
        <v>563</v>
      </c>
      <c r="AT2">
        <f>SLOPE(AQ3:AQ63,G3:G63)</f>
        <v>1.9065592804151339</v>
      </c>
    </row>
    <row r="3" spans="1:46" x14ac:dyDescent="0.25">
      <c r="A3" s="105">
        <v>46023</v>
      </c>
      <c r="B3" s="93">
        <v>4905.13</v>
      </c>
      <c r="C3" s="93">
        <v>4652.34</v>
      </c>
      <c r="D3" s="93">
        <v>4933.88</v>
      </c>
      <c r="E3" s="93">
        <v>4648.38</v>
      </c>
      <c r="F3" s="31" t="s">
        <v>258</v>
      </c>
      <c r="G3" s="106">
        <v>5.57E-2</v>
      </c>
      <c r="H3" s="31"/>
      <c r="I3" s="105">
        <v>46023</v>
      </c>
      <c r="J3" s="31">
        <v>1.47</v>
      </c>
      <c r="K3" s="31">
        <v>1.48</v>
      </c>
      <c r="L3" s="31">
        <v>1.49</v>
      </c>
      <c r="M3" s="31">
        <v>1.45</v>
      </c>
      <c r="N3" s="31" t="s">
        <v>319</v>
      </c>
      <c r="O3" s="106">
        <v>-6.7999999999999996E-3</v>
      </c>
      <c r="S3" s="105">
        <v>46023</v>
      </c>
      <c r="T3" s="31">
        <v>3.9</v>
      </c>
      <c r="U3" s="31">
        <v>4.25</v>
      </c>
      <c r="V3" s="31">
        <v>4.4000000000000004</v>
      </c>
      <c r="W3" s="31">
        <v>3.86</v>
      </c>
      <c r="X3" s="31" t="s">
        <v>382</v>
      </c>
      <c r="Y3" s="31">
        <v>-8.2400000000000001E-2</v>
      </c>
      <c r="Z3" t="s">
        <v>564</v>
      </c>
      <c r="AA3">
        <f>AA2/(1+(1-0.2049)*(9838+42313+801903+68873+132694)/(952614))</f>
        <v>0.39961857731694406</v>
      </c>
      <c r="AB3" s="105">
        <v>46023</v>
      </c>
      <c r="AC3" s="31">
        <v>186.4</v>
      </c>
      <c r="AD3" s="31">
        <v>190.6</v>
      </c>
      <c r="AE3" s="31">
        <v>198.3</v>
      </c>
      <c r="AF3" s="31">
        <v>180</v>
      </c>
      <c r="AG3" s="31" t="s">
        <v>443</v>
      </c>
      <c r="AH3" s="31">
        <v>-2.1999999999999999E-2</v>
      </c>
      <c r="AI3" t="s">
        <v>564</v>
      </c>
      <c r="AJ3">
        <f>AJ2/(1+(1-0.238)*(447.1+710.2)/(719.5))</f>
        <v>0.15393189696173068</v>
      </c>
      <c r="AK3" s="105">
        <v>46023</v>
      </c>
      <c r="AL3" s="31">
        <v>23.26</v>
      </c>
      <c r="AM3" s="31">
        <v>23.4</v>
      </c>
      <c r="AN3" s="31">
        <v>27.62</v>
      </c>
      <c r="AO3" s="31">
        <v>20.8</v>
      </c>
      <c r="AP3" s="31" t="s">
        <v>503</v>
      </c>
      <c r="AQ3" s="31">
        <v>8.6999999999999994E-3</v>
      </c>
      <c r="AS3" t="s">
        <v>564</v>
      </c>
      <c r="AT3">
        <f>AT2/(1-(1-0.47759)*(1249+346.3)/(-352.3))</f>
        <v>0.56648431580189518</v>
      </c>
    </row>
    <row r="4" spans="1:46" x14ac:dyDescent="0.25">
      <c r="A4" s="105">
        <v>45669</v>
      </c>
      <c r="B4" s="93">
        <v>4646.21</v>
      </c>
      <c r="C4" s="93">
        <v>4531.55</v>
      </c>
      <c r="D4" s="93">
        <v>4665.12</v>
      </c>
      <c r="E4" s="93">
        <v>4492.46</v>
      </c>
      <c r="F4" s="31" t="s">
        <v>259</v>
      </c>
      <c r="G4" s="106">
        <v>2.7E-2</v>
      </c>
      <c r="H4" s="31"/>
      <c r="I4" s="105">
        <v>45669</v>
      </c>
      <c r="J4" s="31">
        <v>1.48</v>
      </c>
      <c r="K4" s="31">
        <v>1.45</v>
      </c>
      <c r="L4" s="31">
        <v>1.48</v>
      </c>
      <c r="M4" s="31">
        <v>1.42</v>
      </c>
      <c r="N4" s="31" t="s">
        <v>320</v>
      </c>
      <c r="O4" s="106">
        <v>2.7799999999999998E-2</v>
      </c>
      <c r="P4" t="s">
        <v>565</v>
      </c>
      <c r="Q4">
        <f>MEDIAN(AA3,AJ3,AT3)</f>
        <v>0.39961857731694406</v>
      </c>
      <c r="S4" s="105">
        <v>45669</v>
      </c>
      <c r="T4" s="31">
        <v>4.25</v>
      </c>
      <c r="U4" s="31">
        <v>4.6500000000000004</v>
      </c>
      <c r="V4" s="31">
        <v>4.6500000000000004</v>
      </c>
      <c r="W4" s="31">
        <v>4.16</v>
      </c>
      <c r="X4" s="31" t="s">
        <v>383</v>
      </c>
      <c r="Y4" s="31">
        <v>-8.0100000000000005E-2</v>
      </c>
      <c r="AB4" s="105">
        <v>45669</v>
      </c>
      <c r="AC4" s="31">
        <v>190.6</v>
      </c>
      <c r="AD4" s="31">
        <v>175.6</v>
      </c>
      <c r="AE4" s="31">
        <v>199.7</v>
      </c>
      <c r="AF4" s="31">
        <v>173.5</v>
      </c>
      <c r="AG4" s="31" t="s">
        <v>444</v>
      </c>
      <c r="AH4" s="31">
        <v>7.8700000000000006E-2</v>
      </c>
      <c r="AK4" s="105">
        <v>45669</v>
      </c>
      <c r="AL4" s="31">
        <v>23.06</v>
      </c>
      <c r="AM4" s="31">
        <v>21.46</v>
      </c>
      <c r="AN4" s="31">
        <v>25.32</v>
      </c>
      <c r="AO4" s="31">
        <v>21</v>
      </c>
      <c r="AP4" s="31" t="s">
        <v>504</v>
      </c>
      <c r="AQ4" s="31">
        <v>5.0099999999999999E-2</v>
      </c>
    </row>
    <row r="5" spans="1:46" x14ac:dyDescent="0.25">
      <c r="A5" s="105">
        <v>45668</v>
      </c>
      <c r="B5" s="93">
        <v>4523.96</v>
      </c>
      <c r="C5" s="93">
        <v>4437.38</v>
      </c>
      <c r="D5" s="93">
        <v>4575.91</v>
      </c>
      <c r="E5" s="93">
        <v>4372.6400000000003</v>
      </c>
      <c r="F5" s="31" t="s">
        <v>260</v>
      </c>
      <c r="G5" s="106">
        <v>2.1499999999999998E-2</v>
      </c>
      <c r="H5" s="31"/>
      <c r="I5" s="105">
        <v>45668</v>
      </c>
      <c r="J5" s="31">
        <v>1.44</v>
      </c>
      <c r="K5" s="31">
        <v>1.46</v>
      </c>
      <c r="L5" s="31">
        <v>1.49</v>
      </c>
      <c r="M5" s="31">
        <v>1.44</v>
      </c>
      <c r="N5" s="31" t="s">
        <v>321</v>
      </c>
      <c r="O5" s="106">
        <v>-1.37E-2</v>
      </c>
      <c r="P5" s="91" t="s">
        <v>566</v>
      </c>
      <c r="Q5" s="109">
        <f>Q4*(1+(1-'Profit &amp; loss'!E105)*('debt schedule'!C5+'debt schedule'!C11)/('balance sheet'!H57))</f>
        <v>0.59520093089099124</v>
      </c>
      <c r="S5" s="105">
        <v>45668</v>
      </c>
      <c r="T5" s="31">
        <v>4.62</v>
      </c>
      <c r="U5" s="31">
        <v>4.7</v>
      </c>
      <c r="V5" s="31">
        <v>4.87</v>
      </c>
      <c r="W5" s="31">
        <v>4.3499999999999996</v>
      </c>
      <c r="X5" s="31" t="s">
        <v>384</v>
      </c>
      <c r="Y5" s="31">
        <v>-5.1299999999999998E-2</v>
      </c>
      <c r="AB5" s="105">
        <v>45668</v>
      </c>
      <c r="AC5" s="31">
        <v>176.7</v>
      </c>
      <c r="AD5" s="31">
        <v>214</v>
      </c>
      <c r="AE5" s="31">
        <v>214</v>
      </c>
      <c r="AF5" s="31">
        <v>171.3</v>
      </c>
      <c r="AG5" s="31" t="s">
        <v>445</v>
      </c>
      <c r="AH5" s="31">
        <v>-0.15859999999999999</v>
      </c>
      <c r="AK5" s="105">
        <v>45668</v>
      </c>
      <c r="AL5" s="31">
        <v>21.96</v>
      </c>
      <c r="AM5" s="31">
        <v>26</v>
      </c>
      <c r="AN5" s="31">
        <v>27.08</v>
      </c>
      <c r="AO5" s="31">
        <v>19</v>
      </c>
      <c r="AP5" s="31" t="s">
        <v>505</v>
      </c>
      <c r="AQ5" s="31">
        <v>-0.16370000000000001</v>
      </c>
    </row>
    <row r="6" spans="1:46" x14ac:dyDescent="0.25">
      <c r="A6" s="105">
        <v>45667</v>
      </c>
      <c r="B6" s="93">
        <v>4428.62</v>
      </c>
      <c r="C6" s="93">
        <v>4307.76</v>
      </c>
      <c r="D6" s="93">
        <v>4478.1499999999996</v>
      </c>
      <c r="E6" s="93">
        <v>4307.76</v>
      </c>
      <c r="F6" s="31" t="s">
        <v>261</v>
      </c>
      <c r="G6" s="106">
        <v>2.9899999999999999E-2</v>
      </c>
      <c r="H6" s="31"/>
      <c r="I6" s="105">
        <v>45667</v>
      </c>
      <c r="J6" s="31">
        <v>1.46</v>
      </c>
      <c r="K6" s="31">
        <v>1.45</v>
      </c>
      <c r="L6" s="31">
        <v>1.5</v>
      </c>
      <c r="M6" s="31">
        <v>1.44</v>
      </c>
      <c r="N6" s="31" t="s">
        <v>322</v>
      </c>
      <c r="O6" s="106">
        <v>6.8999999999999999E-3</v>
      </c>
      <c r="S6" s="105">
        <v>45667</v>
      </c>
      <c r="T6" s="31">
        <v>4.87</v>
      </c>
      <c r="U6" s="31">
        <v>4.8099999999999996</v>
      </c>
      <c r="V6" s="31">
        <v>5.22</v>
      </c>
      <c r="W6" s="31">
        <v>4.71</v>
      </c>
      <c r="X6" s="31" t="s">
        <v>385</v>
      </c>
      <c r="Y6" s="31">
        <v>-8.0999999999999996E-3</v>
      </c>
      <c r="AB6" s="105">
        <v>45667</v>
      </c>
      <c r="AC6" s="31">
        <v>210</v>
      </c>
      <c r="AD6" s="31">
        <v>224.6</v>
      </c>
      <c r="AE6" s="31">
        <v>225.6</v>
      </c>
      <c r="AF6" s="31">
        <v>198.8</v>
      </c>
      <c r="AG6" s="31" t="s">
        <v>446</v>
      </c>
      <c r="AH6" s="31">
        <v>-6.9099999999999995E-2</v>
      </c>
      <c r="AK6" s="105">
        <v>45667</v>
      </c>
      <c r="AL6" s="31">
        <v>26.26</v>
      </c>
      <c r="AM6" s="31">
        <v>28.46</v>
      </c>
      <c r="AN6" s="31">
        <v>30.76</v>
      </c>
      <c r="AO6" s="31">
        <v>25.24</v>
      </c>
      <c r="AP6" s="31" t="s">
        <v>506</v>
      </c>
      <c r="AQ6" s="31">
        <v>-8.6300000000000002E-2</v>
      </c>
    </row>
    <row r="7" spans="1:46" x14ac:dyDescent="0.25">
      <c r="A7" s="105">
        <v>45666</v>
      </c>
      <c r="B7" s="93">
        <v>4300.16</v>
      </c>
      <c r="C7" s="93">
        <v>4270.8599999999997</v>
      </c>
      <c r="D7" s="93">
        <v>4375.33</v>
      </c>
      <c r="E7" s="93">
        <v>4252.2700000000004</v>
      </c>
      <c r="F7" s="31" t="s">
        <v>262</v>
      </c>
      <c r="G7" s="106">
        <v>7.1000000000000004E-3</v>
      </c>
      <c r="H7" s="31"/>
      <c r="I7" s="105">
        <v>45666</v>
      </c>
      <c r="J7" s="31">
        <v>1.45</v>
      </c>
      <c r="K7" s="31">
        <v>1.45</v>
      </c>
      <c r="L7" s="31">
        <v>1.51</v>
      </c>
      <c r="M7" s="31">
        <v>1.44</v>
      </c>
      <c r="N7" s="31" t="s">
        <v>323</v>
      </c>
      <c r="O7" s="106">
        <v>0</v>
      </c>
      <c r="S7" s="105">
        <v>45666</v>
      </c>
      <c r="T7" s="31">
        <v>4.91</v>
      </c>
      <c r="U7" s="31">
        <v>4.84</v>
      </c>
      <c r="V7" s="31">
        <v>5.2</v>
      </c>
      <c r="W7" s="31">
        <v>4.75</v>
      </c>
      <c r="X7" s="31" t="s">
        <v>386</v>
      </c>
      <c r="Y7" s="31">
        <v>-1.41E-2</v>
      </c>
      <c r="AB7" s="105">
        <v>45666</v>
      </c>
      <c r="AC7" s="31">
        <v>225.6</v>
      </c>
      <c r="AD7" s="31">
        <v>221</v>
      </c>
      <c r="AE7" s="31">
        <v>225.6</v>
      </c>
      <c r="AF7" s="31">
        <v>210.2</v>
      </c>
      <c r="AG7" s="31" t="s">
        <v>447</v>
      </c>
      <c r="AH7" s="31">
        <v>1.8100000000000002E-2</v>
      </c>
      <c r="AK7" s="105">
        <v>45666</v>
      </c>
      <c r="AL7" s="31">
        <v>28.74</v>
      </c>
      <c r="AM7" s="31">
        <v>32.979999999999997</v>
      </c>
      <c r="AN7" s="31">
        <v>33.32</v>
      </c>
      <c r="AO7" s="31">
        <v>24.36</v>
      </c>
      <c r="AP7" s="31" t="s">
        <v>507</v>
      </c>
      <c r="AQ7" s="31">
        <v>-0.12429999999999999</v>
      </c>
    </row>
    <row r="8" spans="1:46" x14ac:dyDescent="0.25">
      <c r="A8" s="105">
        <v>45665</v>
      </c>
      <c r="B8" s="93">
        <v>4269.7</v>
      </c>
      <c r="C8" s="93">
        <v>4169.28</v>
      </c>
      <c r="D8" s="93">
        <v>4282.8</v>
      </c>
      <c r="E8" s="93">
        <v>4144.8900000000003</v>
      </c>
      <c r="F8" s="31" t="s">
        <v>263</v>
      </c>
      <c r="G8" s="106">
        <v>2.3E-2</v>
      </c>
      <c r="H8" s="31"/>
      <c r="I8" s="105">
        <v>45665</v>
      </c>
      <c r="J8" s="31">
        <v>1.45</v>
      </c>
      <c r="K8" s="31">
        <v>1.53</v>
      </c>
      <c r="L8" s="31">
        <v>1.6</v>
      </c>
      <c r="M8" s="31">
        <v>1.42</v>
      </c>
      <c r="N8" s="31" t="s">
        <v>324</v>
      </c>
      <c r="O8" s="106">
        <v>-5.2299999999999999E-2</v>
      </c>
      <c r="S8" s="105">
        <v>45665</v>
      </c>
      <c r="T8" s="31">
        <v>4.9800000000000004</v>
      </c>
      <c r="U8" s="31">
        <v>3.73</v>
      </c>
      <c r="V8" s="31">
        <v>5.1100000000000003</v>
      </c>
      <c r="W8" s="31">
        <v>3.63</v>
      </c>
      <c r="X8" s="31" t="s">
        <v>387</v>
      </c>
      <c r="Y8" s="31">
        <v>0.33160000000000001</v>
      </c>
      <c r="AB8" s="105">
        <v>45665</v>
      </c>
      <c r="AC8" s="31">
        <v>221.6</v>
      </c>
      <c r="AD8" s="31">
        <v>223.6</v>
      </c>
      <c r="AE8" s="31">
        <v>240.4</v>
      </c>
      <c r="AF8" s="31">
        <v>215.2</v>
      </c>
      <c r="AG8" s="31" t="s">
        <v>448</v>
      </c>
      <c r="AH8" s="31">
        <v>-1.2500000000000001E-2</v>
      </c>
      <c r="AK8" s="105">
        <v>45665</v>
      </c>
      <c r="AL8" s="31">
        <v>32.82</v>
      </c>
      <c r="AM8" s="31">
        <v>35.659999999999997</v>
      </c>
      <c r="AN8" s="31">
        <v>38.119999999999997</v>
      </c>
      <c r="AO8" s="31">
        <v>32.64</v>
      </c>
      <c r="AP8" s="31" t="s">
        <v>508</v>
      </c>
      <c r="AQ8" s="31">
        <v>-9.64E-2</v>
      </c>
    </row>
    <row r="9" spans="1:46" x14ac:dyDescent="0.25">
      <c r="A9" s="105">
        <v>45664</v>
      </c>
      <c r="B9" s="93">
        <v>4173.7700000000004</v>
      </c>
      <c r="C9" s="93">
        <v>3972.18</v>
      </c>
      <c r="D9" s="93">
        <v>4274.32</v>
      </c>
      <c r="E9" s="93">
        <v>3968.57</v>
      </c>
      <c r="F9" s="31" t="s">
        <v>264</v>
      </c>
      <c r="G9" s="106">
        <v>5.28E-2</v>
      </c>
      <c r="H9" s="31"/>
      <c r="I9" s="105">
        <v>45664</v>
      </c>
      <c r="J9" s="31">
        <v>1.53</v>
      </c>
      <c r="K9" s="31">
        <v>1.43</v>
      </c>
      <c r="L9" s="31">
        <v>1.64</v>
      </c>
      <c r="M9" s="31">
        <v>1.4</v>
      </c>
      <c r="N9" s="31" t="s">
        <v>325</v>
      </c>
      <c r="O9" s="106">
        <v>6.9900000000000004E-2</v>
      </c>
      <c r="S9" s="105">
        <v>45664</v>
      </c>
      <c r="T9" s="31">
        <v>3.74</v>
      </c>
      <c r="U9" s="31">
        <v>3.79</v>
      </c>
      <c r="V9" s="31">
        <v>3.92</v>
      </c>
      <c r="W9" s="31">
        <v>3.68</v>
      </c>
      <c r="X9" s="31" t="s">
        <v>388</v>
      </c>
      <c r="Y9" s="31">
        <v>-1.32E-2</v>
      </c>
      <c r="AB9" s="105">
        <v>45664</v>
      </c>
      <c r="AC9" s="31">
        <v>224.4</v>
      </c>
      <c r="AD9" s="31">
        <v>229.6</v>
      </c>
      <c r="AE9" s="31">
        <v>238</v>
      </c>
      <c r="AF9" s="31">
        <v>204.2</v>
      </c>
      <c r="AG9" s="31" t="s">
        <v>449</v>
      </c>
      <c r="AH9" s="31">
        <v>-2.69E-2</v>
      </c>
      <c r="AK9" s="105">
        <v>45664</v>
      </c>
      <c r="AL9" s="31">
        <v>36.32</v>
      </c>
      <c r="AM9" s="31">
        <v>29.2</v>
      </c>
      <c r="AN9" s="31">
        <v>40.380000000000003</v>
      </c>
      <c r="AO9" s="31">
        <v>28</v>
      </c>
      <c r="AP9" s="31" t="s">
        <v>509</v>
      </c>
      <c r="AQ9" s="31">
        <v>0.23119999999999999</v>
      </c>
    </row>
    <row r="10" spans="1:46" x14ac:dyDescent="0.25">
      <c r="A10" s="105">
        <v>45663</v>
      </c>
      <c r="B10" s="93">
        <v>3964.29</v>
      </c>
      <c r="C10" s="93">
        <v>3904.42</v>
      </c>
      <c r="D10" s="93">
        <v>3971.7</v>
      </c>
      <c r="E10" s="93">
        <v>3845.78</v>
      </c>
      <c r="F10" s="31" t="s">
        <v>265</v>
      </c>
      <c r="G10" s="106">
        <v>1.7899999999999999E-2</v>
      </c>
      <c r="H10" s="31"/>
      <c r="I10" s="105">
        <v>45663</v>
      </c>
      <c r="J10" s="31">
        <v>1.43</v>
      </c>
      <c r="K10" s="31">
        <v>1.43</v>
      </c>
      <c r="L10" s="31">
        <v>1.45</v>
      </c>
      <c r="M10" s="31">
        <v>1.4</v>
      </c>
      <c r="N10" s="31" t="s">
        <v>326</v>
      </c>
      <c r="O10" s="106">
        <v>7.0000000000000001E-3</v>
      </c>
      <c r="S10" s="105">
        <v>45663</v>
      </c>
      <c r="T10" s="31">
        <v>3.79</v>
      </c>
      <c r="U10" s="31">
        <v>3.2</v>
      </c>
      <c r="V10" s="31">
        <v>3.88</v>
      </c>
      <c r="W10" s="31">
        <v>3.11</v>
      </c>
      <c r="X10" s="31" t="s">
        <v>389</v>
      </c>
      <c r="Y10" s="31">
        <v>0.16980000000000001</v>
      </c>
      <c r="AB10" s="105">
        <v>45663</v>
      </c>
      <c r="AC10" s="31">
        <v>230.6</v>
      </c>
      <c r="AD10" s="31">
        <v>191.6</v>
      </c>
      <c r="AE10" s="31">
        <v>238</v>
      </c>
      <c r="AF10" s="31">
        <v>189.7</v>
      </c>
      <c r="AG10" s="31" t="s">
        <v>450</v>
      </c>
      <c r="AH10" s="31">
        <v>0.20730000000000001</v>
      </c>
      <c r="AK10" s="105">
        <v>45663</v>
      </c>
      <c r="AL10" s="31">
        <v>29.5</v>
      </c>
      <c r="AM10" s="31">
        <v>30.24</v>
      </c>
      <c r="AN10" s="31">
        <v>32.74</v>
      </c>
      <c r="AO10" s="31">
        <v>25.24</v>
      </c>
      <c r="AP10" s="31" t="s">
        <v>510</v>
      </c>
      <c r="AQ10" s="31">
        <v>-1.34E-2</v>
      </c>
    </row>
    <row r="11" spans="1:46" x14ac:dyDescent="0.25">
      <c r="A11" s="105">
        <v>45662</v>
      </c>
      <c r="B11" s="93">
        <v>3894.61</v>
      </c>
      <c r="C11" s="93">
        <v>3842.38</v>
      </c>
      <c r="D11" s="93">
        <v>3956.26</v>
      </c>
      <c r="E11" s="93">
        <v>3831.04</v>
      </c>
      <c r="F11" s="31" t="s">
        <v>266</v>
      </c>
      <c r="G11" s="106">
        <v>1.6199999999999999E-2</v>
      </c>
      <c r="H11" s="31"/>
      <c r="I11" s="105">
        <v>45662</v>
      </c>
      <c r="J11" s="31">
        <v>1.42</v>
      </c>
      <c r="K11" s="31">
        <v>1.53</v>
      </c>
      <c r="L11" s="31">
        <v>1.54</v>
      </c>
      <c r="M11" s="31">
        <v>1.39</v>
      </c>
      <c r="N11" s="31" t="s">
        <v>327</v>
      </c>
      <c r="O11" s="106">
        <v>-7.1900000000000006E-2</v>
      </c>
      <c r="S11" s="105">
        <v>45662</v>
      </c>
      <c r="T11" s="31">
        <v>3.24</v>
      </c>
      <c r="U11" s="31">
        <v>2.72</v>
      </c>
      <c r="V11" s="31">
        <v>3.35</v>
      </c>
      <c r="W11" s="31">
        <v>2.68</v>
      </c>
      <c r="X11" s="31" t="s">
        <v>390</v>
      </c>
      <c r="Y11" s="31">
        <v>0.1956</v>
      </c>
      <c r="AB11" s="105">
        <v>45662</v>
      </c>
      <c r="AC11" s="31">
        <v>191</v>
      </c>
      <c r="AD11" s="31">
        <v>180.8</v>
      </c>
      <c r="AE11" s="31">
        <v>194.2</v>
      </c>
      <c r="AF11" s="31">
        <v>172.1</v>
      </c>
      <c r="AG11" s="31" t="s">
        <v>451</v>
      </c>
      <c r="AH11" s="31">
        <v>0.106</v>
      </c>
      <c r="AK11" s="105">
        <v>45662</v>
      </c>
      <c r="AL11" s="31">
        <v>29.9</v>
      </c>
      <c r="AM11" s="31">
        <v>30.26</v>
      </c>
      <c r="AN11" s="31">
        <v>32.78</v>
      </c>
      <c r="AO11" s="31">
        <v>26.92</v>
      </c>
      <c r="AP11" s="31" t="s">
        <v>511</v>
      </c>
      <c r="AQ11" s="31">
        <v>-3.8600000000000002E-2</v>
      </c>
    </row>
    <row r="12" spans="1:46" x14ac:dyDescent="0.25">
      <c r="A12" s="105">
        <v>45661</v>
      </c>
      <c r="B12" s="93">
        <v>3832.51</v>
      </c>
      <c r="C12" s="93">
        <v>3950.77</v>
      </c>
      <c r="D12" s="93">
        <v>3980.28</v>
      </c>
      <c r="E12" s="93">
        <v>3372.38</v>
      </c>
      <c r="F12" s="31" t="s">
        <v>267</v>
      </c>
      <c r="G12" s="106">
        <v>-3.5200000000000002E-2</v>
      </c>
      <c r="H12" s="31"/>
      <c r="I12" s="105">
        <v>45661</v>
      </c>
      <c r="J12" s="31">
        <v>1.53</v>
      </c>
      <c r="K12" s="31">
        <v>1.45</v>
      </c>
      <c r="L12" s="31">
        <v>1.55</v>
      </c>
      <c r="M12" s="31">
        <v>1.36</v>
      </c>
      <c r="N12" s="31" t="s">
        <v>328</v>
      </c>
      <c r="O12" s="106">
        <v>4.7899999999999998E-2</v>
      </c>
      <c r="S12" s="105">
        <v>45661</v>
      </c>
      <c r="T12" s="31">
        <v>2.71</v>
      </c>
      <c r="U12" s="31">
        <v>2.68</v>
      </c>
      <c r="V12" s="31">
        <v>2.77</v>
      </c>
      <c r="W12" s="31">
        <v>2.19</v>
      </c>
      <c r="X12" s="31" t="s">
        <v>391</v>
      </c>
      <c r="Y12" s="31">
        <v>1.12E-2</v>
      </c>
      <c r="AB12" s="105">
        <v>45661</v>
      </c>
      <c r="AC12" s="31">
        <v>172.7</v>
      </c>
      <c r="AD12" s="31">
        <v>159.5</v>
      </c>
      <c r="AE12" s="31">
        <v>174.2</v>
      </c>
      <c r="AF12" s="31">
        <v>137.80000000000001</v>
      </c>
      <c r="AG12" s="31" t="s">
        <v>452</v>
      </c>
      <c r="AH12" s="31">
        <v>0.1071</v>
      </c>
      <c r="AK12" s="105">
        <v>45661</v>
      </c>
      <c r="AL12" s="31">
        <v>31.1</v>
      </c>
      <c r="AM12" s="31">
        <v>58.9</v>
      </c>
      <c r="AN12" s="31">
        <v>62.8</v>
      </c>
      <c r="AO12" s="31">
        <v>28.66</v>
      </c>
      <c r="AP12" s="31" t="s">
        <v>512</v>
      </c>
      <c r="AQ12" s="31">
        <v>-0.4652</v>
      </c>
    </row>
    <row r="13" spans="1:46" x14ac:dyDescent="0.25">
      <c r="A13" s="105">
        <v>45660</v>
      </c>
      <c r="B13" s="93">
        <v>3972.43</v>
      </c>
      <c r="C13" s="93">
        <v>3895.37</v>
      </c>
      <c r="D13" s="93">
        <v>4005.18</v>
      </c>
      <c r="E13" s="93">
        <v>3805.7</v>
      </c>
      <c r="F13" s="31" t="s">
        <v>268</v>
      </c>
      <c r="G13" s="106">
        <v>1.9699999999999999E-2</v>
      </c>
      <c r="H13" s="31"/>
      <c r="I13" s="105">
        <v>45660</v>
      </c>
      <c r="J13" s="31">
        <v>1.46</v>
      </c>
      <c r="K13" s="31">
        <v>1.39</v>
      </c>
      <c r="L13" s="31">
        <v>1.48</v>
      </c>
      <c r="M13" s="31">
        <v>1.38</v>
      </c>
      <c r="N13" s="31" t="s">
        <v>329</v>
      </c>
      <c r="O13" s="106">
        <v>5.04E-2</v>
      </c>
      <c r="S13" s="105">
        <v>45660</v>
      </c>
      <c r="T13" s="31">
        <v>2.68</v>
      </c>
      <c r="U13" s="31">
        <v>3.11</v>
      </c>
      <c r="V13" s="31">
        <v>3.55</v>
      </c>
      <c r="W13" s="31">
        <v>2.65</v>
      </c>
      <c r="X13" s="31" t="s">
        <v>392</v>
      </c>
      <c r="Y13" s="31">
        <v>-0.13550000000000001</v>
      </c>
      <c r="AB13" s="105">
        <v>45660</v>
      </c>
      <c r="AC13" s="31">
        <v>156</v>
      </c>
      <c r="AD13" s="31">
        <v>159.1</v>
      </c>
      <c r="AE13" s="31">
        <v>184.8</v>
      </c>
      <c r="AF13" s="31">
        <v>156</v>
      </c>
      <c r="AG13" s="31" t="s">
        <v>453</v>
      </c>
      <c r="AH13" s="31">
        <v>-2.3199999999999998E-2</v>
      </c>
      <c r="AK13" s="105">
        <v>45660</v>
      </c>
      <c r="AL13" s="31">
        <v>58.15</v>
      </c>
      <c r="AM13" s="31">
        <v>66.900000000000006</v>
      </c>
      <c r="AN13" s="31">
        <v>72.55</v>
      </c>
      <c r="AO13" s="31">
        <v>57</v>
      </c>
      <c r="AP13" s="31" t="s">
        <v>513</v>
      </c>
      <c r="AQ13" s="31">
        <v>-0.1467</v>
      </c>
    </row>
    <row r="14" spans="1:46" x14ac:dyDescent="0.25">
      <c r="A14" s="105">
        <v>45659</v>
      </c>
      <c r="B14" s="93">
        <v>3895.7</v>
      </c>
      <c r="C14" s="93">
        <v>3802.42</v>
      </c>
      <c r="D14" s="93">
        <v>3951.64</v>
      </c>
      <c r="E14" s="93">
        <v>3797.83</v>
      </c>
      <c r="F14" s="31" t="s">
        <v>269</v>
      </c>
      <c r="G14" s="106">
        <v>1.03E-2</v>
      </c>
      <c r="H14" s="31"/>
      <c r="I14" s="105">
        <v>45659</v>
      </c>
      <c r="J14" s="31">
        <v>1.39</v>
      </c>
      <c r="K14" s="31">
        <v>1.41</v>
      </c>
      <c r="L14" s="31">
        <v>1.42</v>
      </c>
      <c r="M14" s="31">
        <v>1.34</v>
      </c>
      <c r="N14" s="31" t="s">
        <v>330</v>
      </c>
      <c r="O14" s="106">
        <v>-1.4200000000000001E-2</v>
      </c>
      <c r="S14" s="105">
        <v>45659</v>
      </c>
      <c r="T14" s="31">
        <v>3.1</v>
      </c>
      <c r="U14" s="31">
        <v>3.76</v>
      </c>
      <c r="V14" s="31">
        <v>3.92</v>
      </c>
      <c r="W14" s="31">
        <v>2.78</v>
      </c>
      <c r="X14" s="31" t="s">
        <v>393</v>
      </c>
      <c r="Y14" s="31">
        <v>-0.1885</v>
      </c>
      <c r="AB14" s="105">
        <v>45659</v>
      </c>
      <c r="AC14" s="31">
        <v>159.69999999999999</v>
      </c>
      <c r="AD14" s="31">
        <v>169.9</v>
      </c>
      <c r="AE14" s="31">
        <v>170</v>
      </c>
      <c r="AF14" s="31">
        <v>153.6</v>
      </c>
      <c r="AG14" s="31" t="s">
        <v>454</v>
      </c>
      <c r="AH14" s="31">
        <v>-2.0799999999999999E-2</v>
      </c>
      <c r="AK14" s="105">
        <v>45659</v>
      </c>
      <c r="AL14" s="31">
        <v>68.150000000000006</v>
      </c>
      <c r="AM14" s="31">
        <v>73.5</v>
      </c>
      <c r="AN14" s="31">
        <v>73.5</v>
      </c>
      <c r="AO14" s="31">
        <v>67.55</v>
      </c>
      <c r="AP14" s="31" t="s">
        <v>514</v>
      </c>
      <c r="AQ14" s="31">
        <v>-7.2800000000000004E-2</v>
      </c>
    </row>
    <row r="15" spans="1:46" x14ac:dyDescent="0.25">
      <c r="A15" s="105">
        <v>45658</v>
      </c>
      <c r="B15" s="93">
        <v>3855.82</v>
      </c>
      <c r="C15" s="93">
        <v>3790.36</v>
      </c>
      <c r="D15" s="93">
        <v>3886.98</v>
      </c>
      <c r="E15" s="93">
        <v>3765.41</v>
      </c>
      <c r="F15" s="31" t="s">
        <v>270</v>
      </c>
      <c r="G15" s="106">
        <v>1.7999999999999999E-2</v>
      </c>
      <c r="H15" s="31"/>
      <c r="I15" s="105">
        <v>45658</v>
      </c>
      <c r="J15" s="31">
        <v>1.41</v>
      </c>
      <c r="K15" s="31">
        <v>1.48</v>
      </c>
      <c r="L15" s="31">
        <v>1.48</v>
      </c>
      <c r="M15" s="31">
        <v>1.38</v>
      </c>
      <c r="N15" s="31" t="s">
        <v>331</v>
      </c>
      <c r="O15" s="106">
        <v>-4.7300000000000002E-2</v>
      </c>
      <c r="S15" s="105">
        <v>45658</v>
      </c>
      <c r="T15" s="31">
        <v>3.82</v>
      </c>
      <c r="U15" s="31">
        <v>3.66</v>
      </c>
      <c r="V15" s="31">
        <v>3.84</v>
      </c>
      <c r="W15" s="31">
        <v>3.41</v>
      </c>
      <c r="X15" s="31" t="s">
        <v>394</v>
      </c>
      <c r="Y15" s="31">
        <v>4.3700000000000003E-2</v>
      </c>
      <c r="AB15" s="31">
        <v>45658</v>
      </c>
      <c r="AC15" s="31">
        <v>163.1</v>
      </c>
      <c r="AD15" s="31">
        <v>162.19999999999999</v>
      </c>
      <c r="AE15" s="31">
        <v>170</v>
      </c>
      <c r="AF15" s="31">
        <v>149</v>
      </c>
      <c r="AG15" s="31" t="s">
        <v>455</v>
      </c>
      <c r="AH15" s="31">
        <v>1.49E-2</v>
      </c>
      <c r="AK15" s="31">
        <v>45658</v>
      </c>
      <c r="AL15" s="31">
        <v>73.5</v>
      </c>
      <c r="AM15" s="31">
        <v>80</v>
      </c>
      <c r="AN15" s="31">
        <v>82.2</v>
      </c>
      <c r="AO15" s="31">
        <v>71.7</v>
      </c>
      <c r="AP15" s="31" t="s">
        <v>515</v>
      </c>
      <c r="AQ15" s="31">
        <v>-7.3099999999999998E-2</v>
      </c>
    </row>
    <row r="16" spans="1:46" x14ac:dyDescent="0.25">
      <c r="A16" s="105">
        <v>45303</v>
      </c>
      <c r="B16" s="93">
        <v>3787.6</v>
      </c>
      <c r="C16" s="93">
        <v>3760.39</v>
      </c>
      <c r="D16" s="93">
        <v>3842.71</v>
      </c>
      <c r="E16" s="93">
        <v>3715.52</v>
      </c>
      <c r="F16" s="31" t="s">
        <v>271</v>
      </c>
      <c r="G16" s="106">
        <v>1.29E-2</v>
      </c>
      <c r="H16" s="31"/>
      <c r="I16" s="105">
        <v>45303</v>
      </c>
      <c r="J16" s="31">
        <v>1.48</v>
      </c>
      <c r="K16" s="31">
        <v>1.46</v>
      </c>
      <c r="L16" s="31">
        <v>1.5</v>
      </c>
      <c r="M16" s="31">
        <v>1.44</v>
      </c>
      <c r="N16" s="31" t="s">
        <v>332</v>
      </c>
      <c r="O16" s="106">
        <v>1.37E-2</v>
      </c>
      <c r="S16" s="105">
        <v>45303</v>
      </c>
      <c r="T16" s="31">
        <v>3.66</v>
      </c>
      <c r="U16" s="31">
        <v>3.94</v>
      </c>
      <c r="V16" s="31">
        <v>3.99</v>
      </c>
      <c r="W16" s="31">
        <v>3.45</v>
      </c>
      <c r="X16" s="31" t="s">
        <v>395</v>
      </c>
      <c r="Y16" s="31">
        <v>-6.1499999999999999E-2</v>
      </c>
      <c r="AB16" s="105">
        <v>45303</v>
      </c>
      <c r="AC16" s="31">
        <v>160.69999999999999</v>
      </c>
      <c r="AD16" s="31">
        <v>158.30000000000001</v>
      </c>
      <c r="AE16" s="31">
        <v>175</v>
      </c>
      <c r="AF16" s="31">
        <v>150.19999999999999</v>
      </c>
      <c r="AG16" s="31" t="s">
        <v>456</v>
      </c>
      <c r="AH16" s="31">
        <v>6.1400000000000003E-2</v>
      </c>
      <c r="AK16" s="105">
        <v>45303</v>
      </c>
      <c r="AL16" s="31">
        <v>79.3</v>
      </c>
      <c r="AM16" s="31">
        <v>87</v>
      </c>
      <c r="AN16" s="31">
        <v>90.9</v>
      </c>
      <c r="AO16" s="31">
        <v>74.849999999999994</v>
      </c>
      <c r="AP16" s="31" t="s">
        <v>516</v>
      </c>
      <c r="AQ16" s="31">
        <v>-8.6900000000000005E-2</v>
      </c>
    </row>
    <row r="17" spans="1:43" x14ac:dyDescent="0.25">
      <c r="A17" s="105">
        <v>45302</v>
      </c>
      <c r="B17" s="93">
        <v>3739.29</v>
      </c>
      <c r="C17" s="93">
        <v>3527.13</v>
      </c>
      <c r="D17" s="93">
        <v>3766.93</v>
      </c>
      <c r="E17" s="93">
        <v>3524.33</v>
      </c>
      <c r="F17" s="31" t="s">
        <v>272</v>
      </c>
      <c r="G17" s="106">
        <v>5.0700000000000002E-2</v>
      </c>
      <c r="H17" s="31"/>
      <c r="I17" s="105">
        <v>45302</v>
      </c>
      <c r="J17" s="31">
        <v>1.46</v>
      </c>
      <c r="K17" s="31">
        <v>1.47</v>
      </c>
      <c r="L17" s="31">
        <v>1.5</v>
      </c>
      <c r="M17" s="31">
        <v>1.45</v>
      </c>
      <c r="N17" s="31" t="s">
        <v>333</v>
      </c>
      <c r="O17" s="106">
        <v>-6.7999999999999996E-3</v>
      </c>
      <c r="S17" s="105">
        <v>45302</v>
      </c>
      <c r="T17" s="31">
        <v>3.9</v>
      </c>
      <c r="U17" s="31">
        <v>3.84</v>
      </c>
      <c r="V17" s="31">
        <v>3.97</v>
      </c>
      <c r="W17" s="31">
        <v>3.69</v>
      </c>
      <c r="X17" s="31" t="s">
        <v>396</v>
      </c>
      <c r="Y17" s="31">
        <v>-5.1000000000000004E-3</v>
      </c>
      <c r="AB17" s="105">
        <v>45302</v>
      </c>
      <c r="AC17" s="31">
        <v>151.4</v>
      </c>
      <c r="AD17" s="31">
        <v>135</v>
      </c>
      <c r="AE17" s="31">
        <v>156.5</v>
      </c>
      <c r="AF17" s="31">
        <v>128.6</v>
      </c>
      <c r="AG17" s="31" t="s">
        <v>457</v>
      </c>
      <c r="AH17" s="31">
        <v>0.1358</v>
      </c>
      <c r="AK17" s="105">
        <v>45302</v>
      </c>
      <c r="AL17" s="31">
        <v>86.85</v>
      </c>
      <c r="AM17" s="31">
        <v>68</v>
      </c>
      <c r="AN17" s="31">
        <v>87</v>
      </c>
      <c r="AO17" s="31">
        <v>66.75</v>
      </c>
      <c r="AP17" s="31" t="s">
        <v>517</v>
      </c>
      <c r="AQ17" s="31">
        <v>0.25230000000000002</v>
      </c>
    </row>
    <row r="18" spans="1:43" x14ac:dyDescent="0.25">
      <c r="A18" s="105">
        <v>45301</v>
      </c>
      <c r="B18" s="93">
        <v>3558.88</v>
      </c>
      <c r="C18" s="93">
        <v>3593.42</v>
      </c>
      <c r="D18" s="93">
        <v>3644.18</v>
      </c>
      <c r="E18" s="93">
        <v>3553.85</v>
      </c>
      <c r="F18" s="31" t="s">
        <v>273</v>
      </c>
      <c r="G18" s="106">
        <v>-7.4000000000000003E-3</v>
      </c>
      <c r="H18" s="31"/>
      <c r="I18" s="105">
        <v>45301</v>
      </c>
      <c r="J18" s="31">
        <v>1.47</v>
      </c>
      <c r="K18" s="31">
        <v>1.51</v>
      </c>
      <c r="L18" s="31">
        <v>1.52</v>
      </c>
      <c r="M18" s="31">
        <v>1.42</v>
      </c>
      <c r="N18" s="31" t="s">
        <v>334</v>
      </c>
      <c r="O18" s="106">
        <v>-2.6499999999999999E-2</v>
      </c>
      <c r="S18" s="105">
        <v>45301</v>
      </c>
      <c r="T18" s="31">
        <v>3.92</v>
      </c>
      <c r="U18" s="31">
        <v>4.1500000000000004</v>
      </c>
      <c r="V18" s="31">
        <v>4.4000000000000004</v>
      </c>
      <c r="W18" s="31">
        <v>3.79</v>
      </c>
      <c r="X18" s="31" t="s">
        <v>397</v>
      </c>
      <c r="Y18" s="31">
        <v>-5.0799999999999998E-2</v>
      </c>
      <c r="AB18" s="105">
        <v>45301</v>
      </c>
      <c r="AC18" s="31">
        <v>133.30000000000001</v>
      </c>
      <c r="AD18" s="31">
        <v>150.5</v>
      </c>
      <c r="AE18" s="31">
        <v>150.5</v>
      </c>
      <c r="AF18" s="31">
        <v>131.5</v>
      </c>
      <c r="AG18" s="31" t="s">
        <v>458</v>
      </c>
      <c r="AH18" s="31">
        <v>-8.7599999999999997E-2</v>
      </c>
      <c r="AK18" s="105">
        <v>45301</v>
      </c>
      <c r="AL18" s="31">
        <v>69.349999999999994</v>
      </c>
      <c r="AM18" s="31">
        <v>75</v>
      </c>
      <c r="AN18" s="31">
        <v>76.25</v>
      </c>
      <c r="AO18" s="31">
        <v>67.7</v>
      </c>
      <c r="AP18" s="31" t="s">
        <v>518</v>
      </c>
      <c r="AQ18" s="31">
        <v>-5.7099999999999998E-2</v>
      </c>
    </row>
    <row r="19" spans="1:43" x14ac:dyDescent="0.25">
      <c r="A19" s="105">
        <v>45300</v>
      </c>
      <c r="B19" s="93">
        <v>3585.29</v>
      </c>
      <c r="C19" s="93">
        <v>3442.71</v>
      </c>
      <c r="D19" s="93">
        <v>3652.62</v>
      </c>
      <c r="E19" s="93">
        <v>3412.47</v>
      </c>
      <c r="F19" s="31" t="s">
        <v>274</v>
      </c>
      <c r="G19" s="106">
        <v>4.1300000000000003E-2</v>
      </c>
      <c r="H19" s="31"/>
      <c r="I19" s="105">
        <v>45300</v>
      </c>
      <c r="J19" s="31">
        <v>1.51</v>
      </c>
      <c r="K19" s="31">
        <v>1.42</v>
      </c>
      <c r="L19" s="31">
        <v>1.53</v>
      </c>
      <c r="M19" s="31">
        <v>1.4</v>
      </c>
      <c r="N19" s="31" t="s">
        <v>335</v>
      </c>
      <c r="O19" s="106">
        <v>6.3399999999999998E-2</v>
      </c>
      <c r="S19" s="105">
        <v>45300</v>
      </c>
      <c r="T19" s="31">
        <v>4.13</v>
      </c>
      <c r="U19" s="31">
        <v>3.75</v>
      </c>
      <c r="V19" s="31">
        <v>4.1900000000000004</v>
      </c>
      <c r="W19" s="31">
        <v>3.69</v>
      </c>
      <c r="X19" s="31" t="s">
        <v>398</v>
      </c>
      <c r="Y19" s="31">
        <v>9.8400000000000001E-2</v>
      </c>
      <c r="AB19" s="105">
        <v>45300</v>
      </c>
      <c r="AC19" s="31">
        <v>146.1</v>
      </c>
      <c r="AD19" s="31">
        <v>158.4</v>
      </c>
      <c r="AE19" s="31">
        <v>168.6</v>
      </c>
      <c r="AF19" s="31">
        <v>141.9</v>
      </c>
      <c r="AG19" s="31" t="s">
        <v>459</v>
      </c>
      <c r="AH19" s="31">
        <v>-6.9400000000000003E-2</v>
      </c>
      <c r="AK19" s="105">
        <v>45300</v>
      </c>
      <c r="AL19" s="31">
        <v>73.55</v>
      </c>
      <c r="AM19" s="31">
        <v>67.8</v>
      </c>
      <c r="AN19" s="31">
        <v>76</v>
      </c>
      <c r="AO19" s="31">
        <v>63.95</v>
      </c>
      <c r="AP19" s="31" t="s">
        <v>519</v>
      </c>
      <c r="AQ19" s="31">
        <v>7.8399999999999997E-2</v>
      </c>
    </row>
    <row r="20" spans="1:43" x14ac:dyDescent="0.25">
      <c r="A20" s="105">
        <v>45299</v>
      </c>
      <c r="B20" s="93">
        <v>3442.93</v>
      </c>
      <c r="C20" s="93">
        <v>3453.24</v>
      </c>
      <c r="D20" s="93">
        <v>3454.53</v>
      </c>
      <c r="E20" s="93">
        <v>3198.44</v>
      </c>
      <c r="F20" s="31" t="s">
        <v>275</v>
      </c>
      <c r="G20" s="106">
        <v>-3.8E-3</v>
      </c>
      <c r="H20" s="31"/>
      <c r="I20" s="105">
        <v>45299</v>
      </c>
      <c r="J20" s="31">
        <v>1.42</v>
      </c>
      <c r="K20" s="31">
        <v>1.4</v>
      </c>
      <c r="L20" s="31">
        <v>1.44</v>
      </c>
      <c r="M20" s="31">
        <v>1.35</v>
      </c>
      <c r="N20" s="31" t="s">
        <v>336</v>
      </c>
      <c r="O20" s="106">
        <v>1.43E-2</v>
      </c>
      <c r="S20" s="105">
        <v>45299</v>
      </c>
      <c r="T20" s="31">
        <v>3.76</v>
      </c>
      <c r="U20" s="31">
        <v>5.33</v>
      </c>
      <c r="V20" s="31">
        <v>5.33</v>
      </c>
      <c r="W20" s="31">
        <v>3.58</v>
      </c>
      <c r="X20" s="31" t="s">
        <v>399</v>
      </c>
      <c r="Y20" s="31">
        <v>-0.2838</v>
      </c>
      <c r="AB20" s="105">
        <v>45299</v>
      </c>
      <c r="AC20" s="31">
        <v>157</v>
      </c>
      <c r="AD20" s="31">
        <v>179</v>
      </c>
      <c r="AE20" s="31">
        <v>179</v>
      </c>
      <c r="AF20" s="31">
        <v>154.19999999999999</v>
      </c>
      <c r="AG20" s="31" t="s">
        <v>455</v>
      </c>
      <c r="AH20" s="31">
        <v>-0.10489999999999999</v>
      </c>
      <c r="AK20" s="105">
        <v>45299</v>
      </c>
      <c r="AL20" s="31">
        <v>68.2</v>
      </c>
      <c r="AM20" s="31">
        <v>56.85</v>
      </c>
      <c r="AN20" s="31">
        <v>73.150000000000006</v>
      </c>
      <c r="AO20" s="31">
        <v>50.65</v>
      </c>
      <c r="AP20" s="31" t="s">
        <v>520</v>
      </c>
      <c r="AQ20" s="31">
        <v>0.2135</v>
      </c>
    </row>
    <row r="21" spans="1:43" x14ac:dyDescent="0.25">
      <c r="A21" s="105">
        <v>45298</v>
      </c>
      <c r="B21" s="93">
        <v>3455.94</v>
      </c>
      <c r="C21" s="93">
        <v>3334.71</v>
      </c>
      <c r="D21" s="93">
        <v>3509.2</v>
      </c>
      <c r="E21" s="93">
        <v>3325.17</v>
      </c>
      <c r="F21" s="31" t="s">
        <v>276</v>
      </c>
      <c r="G21" s="106">
        <v>3.6900000000000002E-2</v>
      </c>
      <c r="H21" s="31"/>
      <c r="I21" s="105">
        <v>45298</v>
      </c>
      <c r="J21" s="31">
        <v>1.4</v>
      </c>
      <c r="K21" s="31">
        <v>1.34</v>
      </c>
      <c r="L21" s="31">
        <v>1.42</v>
      </c>
      <c r="M21" s="31">
        <v>1.33</v>
      </c>
      <c r="N21" s="31" t="s">
        <v>337</v>
      </c>
      <c r="O21" s="106">
        <v>4.48E-2</v>
      </c>
      <c r="S21" s="105">
        <v>45298</v>
      </c>
      <c r="T21" s="31">
        <v>5.25</v>
      </c>
      <c r="U21" s="31">
        <v>5.0999999999999996</v>
      </c>
      <c r="V21" s="31">
        <v>5.28</v>
      </c>
      <c r="W21" s="31">
        <v>4.76</v>
      </c>
      <c r="X21" s="31" t="s">
        <v>400</v>
      </c>
      <c r="Y21" s="31">
        <v>1.9400000000000001E-2</v>
      </c>
      <c r="AB21" s="105">
        <v>45298</v>
      </c>
      <c r="AC21" s="31">
        <v>175.4</v>
      </c>
      <c r="AD21" s="31">
        <v>160</v>
      </c>
      <c r="AE21" s="31">
        <v>178.9</v>
      </c>
      <c r="AF21" s="31">
        <v>157.4</v>
      </c>
      <c r="AG21" s="31" t="s">
        <v>460</v>
      </c>
      <c r="AH21" s="31">
        <v>0.108</v>
      </c>
      <c r="AK21" s="105">
        <v>45298</v>
      </c>
      <c r="AL21" s="31">
        <v>56.2</v>
      </c>
      <c r="AM21" s="31">
        <v>52</v>
      </c>
      <c r="AN21" s="31">
        <v>59.05</v>
      </c>
      <c r="AO21" s="31">
        <v>48.08</v>
      </c>
      <c r="AP21" s="31" t="s">
        <v>521</v>
      </c>
      <c r="AQ21" s="31">
        <v>0.1009</v>
      </c>
    </row>
    <row r="22" spans="1:43" x14ac:dyDescent="0.25">
      <c r="A22" s="105">
        <v>45297</v>
      </c>
      <c r="B22" s="93">
        <v>3332.8</v>
      </c>
      <c r="C22" s="93">
        <v>3347.22</v>
      </c>
      <c r="D22" s="93">
        <v>3355.63</v>
      </c>
      <c r="E22" s="93">
        <v>3288.94</v>
      </c>
      <c r="F22" s="31" t="s">
        <v>277</v>
      </c>
      <c r="G22" s="106">
        <v>-1.1000000000000001E-3</v>
      </c>
      <c r="H22" s="31"/>
      <c r="I22" s="105">
        <v>45297</v>
      </c>
      <c r="J22" s="31">
        <v>1.34</v>
      </c>
      <c r="K22" s="31">
        <v>1.39</v>
      </c>
      <c r="L22" s="31">
        <v>1.4</v>
      </c>
      <c r="M22" s="31">
        <v>1.32</v>
      </c>
      <c r="N22" s="31" t="s">
        <v>338</v>
      </c>
      <c r="O22" s="106">
        <v>-3.5999999999999997E-2</v>
      </c>
      <c r="S22" s="105">
        <v>45297</v>
      </c>
      <c r="T22" s="31">
        <v>5.15</v>
      </c>
      <c r="U22" s="31">
        <v>5.23</v>
      </c>
      <c r="V22" s="31">
        <v>5.37</v>
      </c>
      <c r="W22" s="31">
        <v>4.8600000000000003</v>
      </c>
      <c r="X22" s="31" t="s">
        <v>401</v>
      </c>
      <c r="Y22" s="31">
        <v>-5.7999999999999996E-3</v>
      </c>
      <c r="AB22" s="105">
        <v>45297</v>
      </c>
      <c r="AC22" s="31">
        <v>158.30000000000001</v>
      </c>
      <c r="AD22" s="31">
        <v>170</v>
      </c>
      <c r="AE22" s="31">
        <v>177.1</v>
      </c>
      <c r="AF22" s="31">
        <v>150</v>
      </c>
      <c r="AG22" s="31" t="s">
        <v>461</v>
      </c>
      <c r="AH22" s="31">
        <v>-7.2599999999999998E-2</v>
      </c>
      <c r="AK22" s="105">
        <v>45297</v>
      </c>
      <c r="AL22" s="31">
        <v>51.05</v>
      </c>
      <c r="AM22" s="31">
        <v>54.95</v>
      </c>
      <c r="AN22" s="31">
        <v>57.8</v>
      </c>
      <c r="AO22" s="31">
        <v>45.5</v>
      </c>
      <c r="AP22" s="31" t="s">
        <v>522</v>
      </c>
      <c r="AQ22" s="31">
        <v>-5.11E-2</v>
      </c>
    </row>
    <row r="23" spans="1:43" x14ac:dyDescent="0.25">
      <c r="A23" s="105">
        <v>45296</v>
      </c>
      <c r="B23" s="93">
        <v>3336.59</v>
      </c>
      <c r="C23" s="93">
        <v>3309.78</v>
      </c>
      <c r="D23" s="93">
        <v>3336.59</v>
      </c>
      <c r="E23" s="93">
        <v>3241.13</v>
      </c>
      <c r="F23" s="31" t="s">
        <v>278</v>
      </c>
      <c r="G23" s="106">
        <v>1.3299999999999999E-2</v>
      </c>
      <c r="H23" s="31"/>
      <c r="I23" s="105">
        <v>45296</v>
      </c>
      <c r="J23" s="31">
        <v>1.39</v>
      </c>
      <c r="K23" s="31">
        <v>1.49</v>
      </c>
      <c r="L23" s="31">
        <v>1.5</v>
      </c>
      <c r="M23" s="31">
        <v>1.36</v>
      </c>
      <c r="N23" s="31" t="s">
        <v>339</v>
      </c>
      <c r="O23" s="106">
        <v>-6.7100000000000007E-2</v>
      </c>
      <c r="S23" s="105">
        <v>45296</v>
      </c>
      <c r="T23" s="31">
        <v>5.18</v>
      </c>
      <c r="U23" s="31">
        <v>5.48</v>
      </c>
      <c r="V23" s="31">
        <v>5.95</v>
      </c>
      <c r="W23" s="31">
        <v>5.0199999999999996</v>
      </c>
      <c r="X23" s="31" t="s">
        <v>402</v>
      </c>
      <c r="Y23" s="31">
        <v>-6.83E-2</v>
      </c>
      <c r="AB23" s="105">
        <v>45296</v>
      </c>
      <c r="AC23" s="31">
        <v>170.7</v>
      </c>
      <c r="AD23" s="31">
        <v>162.6</v>
      </c>
      <c r="AE23" s="31">
        <v>179.8</v>
      </c>
      <c r="AF23" s="31">
        <v>161.4</v>
      </c>
      <c r="AG23" s="31" t="s">
        <v>462</v>
      </c>
      <c r="AH23" s="31">
        <v>5.2400000000000002E-2</v>
      </c>
      <c r="AK23" s="105">
        <v>45296</v>
      </c>
      <c r="AL23" s="31">
        <v>53.8</v>
      </c>
      <c r="AM23" s="31">
        <v>54.7</v>
      </c>
      <c r="AN23" s="31">
        <v>68.599999999999994</v>
      </c>
      <c r="AO23" s="31">
        <v>53.4</v>
      </c>
      <c r="AP23" s="31" t="s">
        <v>523</v>
      </c>
      <c r="AQ23" s="31">
        <v>-2.8899999999999999E-2</v>
      </c>
    </row>
    <row r="24" spans="1:43" x14ac:dyDescent="0.25">
      <c r="A24" s="105">
        <v>45295</v>
      </c>
      <c r="B24" s="93">
        <v>3292.69</v>
      </c>
      <c r="C24" s="93">
        <v>3231.48</v>
      </c>
      <c r="D24" s="93">
        <v>3308.12</v>
      </c>
      <c r="E24" s="93">
        <v>3136.44</v>
      </c>
      <c r="F24" s="31" t="s">
        <v>279</v>
      </c>
      <c r="G24" s="106">
        <v>2.1299999999999999E-2</v>
      </c>
      <c r="H24" s="31"/>
      <c r="I24" s="105">
        <v>45295</v>
      </c>
      <c r="J24" s="31">
        <v>1.49</v>
      </c>
      <c r="K24" s="31">
        <v>1.41</v>
      </c>
      <c r="L24" s="31">
        <v>1.5</v>
      </c>
      <c r="M24" s="31">
        <v>1.4</v>
      </c>
      <c r="N24" s="31" t="s">
        <v>340</v>
      </c>
      <c r="O24" s="106">
        <v>6.4299999999999996E-2</v>
      </c>
      <c r="S24" s="105">
        <v>45295</v>
      </c>
      <c r="T24" s="31">
        <v>5.56</v>
      </c>
      <c r="U24" s="31">
        <v>5.75</v>
      </c>
      <c r="V24" s="31">
        <v>5.78</v>
      </c>
      <c r="W24" s="31">
        <v>5.34</v>
      </c>
      <c r="X24" s="31" t="s">
        <v>403</v>
      </c>
      <c r="Y24" s="31">
        <v>-3.8100000000000002E-2</v>
      </c>
      <c r="AB24" s="105">
        <v>45295</v>
      </c>
      <c r="AC24" s="31">
        <v>162.19999999999999</v>
      </c>
      <c r="AD24" s="31">
        <v>181.3</v>
      </c>
      <c r="AE24" s="31">
        <v>185.1</v>
      </c>
      <c r="AF24" s="31">
        <v>155.80000000000001</v>
      </c>
      <c r="AG24" s="31" t="s">
        <v>463</v>
      </c>
      <c r="AH24" s="31">
        <v>-0.1009</v>
      </c>
      <c r="AK24" s="105">
        <v>45295</v>
      </c>
      <c r="AL24" s="31">
        <v>55.4</v>
      </c>
      <c r="AM24" s="31">
        <v>68.2</v>
      </c>
      <c r="AN24" s="31">
        <v>69.55</v>
      </c>
      <c r="AO24" s="31">
        <v>51.5</v>
      </c>
      <c r="AP24" s="31" t="s">
        <v>524</v>
      </c>
      <c r="AQ24" s="31">
        <v>-0.20399999999999999</v>
      </c>
    </row>
    <row r="25" spans="1:43" x14ac:dyDescent="0.25">
      <c r="A25" s="105">
        <v>45294</v>
      </c>
      <c r="B25" s="93">
        <v>3224.01</v>
      </c>
      <c r="C25" s="93">
        <v>3151.07</v>
      </c>
      <c r="D25" s="93">
        <v>3262.52</v>
      </c>
      <c r="E25" s="93">
        <v>3101.24</v>
      </c>
      <c r="F25" s="31" t="s">
        <v>280</v>
      </c>
      <c r="G25" s="106">
        <v>2.6200000000000001E-2</v>
      </c>
      <c r="H25" s="31"/>
      <c r="I25" s="105">
        <v>45294</v>
      </c>
      <c r="J25" s="31">
        <v>1.4</v>
      </c>
      <c r="K25" s="31">
        <v>1.37</v>
      </c>
      <c r="L25" s="31">
        <v>1.41</v>
      </c>
      <c r="M25" s="31">
        <v>1.34</v>
      </c>
      <c r="N25" s="31" t="s">
        <v>341</v>
      </c>
      <c r="O25" s="106">
        <v>3.6999999999999998E-2</v>
      </c>
      <c r="S25" s="105">
        <v>45294</v>
      </c>
      <c r="T25" s="31">
        <v>5.78</v>
      </c>
      <c r="U25" s="31">
        <v>6.03</v>
      </c>
      <c r="V25" s="31">
        <v>6.2</v>
      </c>
      <c r="W25" s="31">
        <v>5.67</v>
      </c>
      <c r="X25" s="31" t="s">
        <v>404</v>
      </c>
      <c r="Y25" s="31">
        <v>-4.2999999999999997E-2</v>
      </c>
      <c r="AB25" s="105">
        <v>45294</v>
      </c>
      <c r="AC25" s="31">
        <v>180.4</v>
      </c>
      <c r="AD25" s="31">
        <v>163.1</v>
      </c>
      <c r="AE25" s="31">
        <v>189</v>
      </c>
      <c r="AF25" s="31">
        <v>148.1</v>
      </c>
      <c r="AG25" s="31" t="s">
        <v>464</v>
      </c>
      <c r="AH25" s="31">
        <v>0.14030000000000001</v>
      </c>
      <c r="AK25" s="105">
        <v>45294</v>
      </c>
      <c r="AL25" s="31">
        <v>69.599999999999994</v>
      </c>
      <c r="AM25" s="31">
        <v>78.2</v>
      </c>
      <c r="AN25" s="31">
        <v>80.75</v>
      </c>
      <c r="AO25" s="31">
        <v>61.5</v>
      </c>
      <c r="AP25" s="31" t="s">
        <v>525</v>
      </c>
      <c r="AQ25" s="31">
        <v>-0.1077</v>
      </c>
    </row>
    <row r="26" spans="1:43" x14ac:dyDescent="0.25">
      <c r="A26" s="105">
        <v>45293</v>
      </c>
      <c r="B26" s="93">
        <v>3141.85</v>
      </c>
      <c r="C26" s="93">
        <v>3144.18</v>
      </c>
      <c r="D26" s="93">
        <v>3247.63</v>
      </c>
      <c r="E26" s="93">
        <v>3092.4</v>
      </c>
      <c r="F26" s="31" t="s">
        <v>281</v>
      </c>
      <c r="G26" s="106">
        <v>-3.5000000000000001E-3</v>
      </c>
      <c r="H26" s="31"/>
      <c r="I26" s="105">
        <v>45293</v>
      </c>
      <c r="J26" s="31">
        <v>1.35</v>
      </c>
      <c r="K26" s="31">
        <v>1.4</v>
      </c>
      <c r="L26" s="31">
        <v>1.42</v>
      </c>
      <c r="M26" s="31">
        <v>1.34</v>
      </c>
      <c r="N26" s="31" t="s">
        <v>342</v>
      </c>
      <c r="O26" s="106">
        <v>-3.5700000000000003E-2</v>
      </c>
      <c r="S26" s="105">
        <v>45293</v>
      </c>
      <c r="T26" s="31">
        <v>6.04</v>
      </c>
      <c r="U26" s="31">
        <v>7.13</v>
      </c>
      <c r="V26" s="31">
        <v>7.13</v>
      </c>
      <c r="W26" s="31">
        <v>5.5</v>
      </c>
      <c r="X26" s="31" t="s">
        <v>405</v>
      </c>
      <c r="Y26" s="31">
        <v>-0.1588</v>
      </c>
      <c r="AB26" s="105">
        <v>45293</v>
      </c>
      <c r="AC26" s="31">
        <v>158.19999999999999</v>
      </c>
      <c r="AD26" s="31">
        <v>171</v>
      </c>
      <c r="AE26" s="31">
        <v>175</v>
      </c>
      <c r="AF26" s="31">
        <v>148</v>
      </c>
      <c r="AG26" s="31" t="s">
        <v>465</v>
      </c>
      <c r="AH26" s="31">
        <v>-6.2199999999999998E-2</v>
      </c>
      <c r="AK26" s="105">
        <v>45293</v>
      </c>
      <c r="AL26" s="31">
        <v>78</v>
      </c>
      <c r="AM26" s="31">
        <v>87.75</v>
      </c>
      <c r="AN26" s="31">
        <v>89.45</v>
      </c>
      <c r="AO26" s="31">
        <v>63</v>
      </c>
      <c r="AP26" s="31" t="s">
        <v>526</v>
      </c>
      <c r="AQ26" s="31">
        <v>-9.1399999999999995E-2</v>
      </c>
    </row>
    <row r="27" spans="1:43" x14ac:dyDescent="0.25">
      <c r="A27" s="105">
        <v>45292</v>
      </c>
      <c r="B27" s="93">
        <v>3153.01</v>
      </c>
      <c r="C27" s="93">
        <v>3240.83</v>
      </c>
      <c r="D27" s="93">
        <v>3259.28</v>
      </c>
      <c r="E27" s="93">
        <v>3126.29</v>
      </c>
      <c r="F27" s="31" t="s">
        <v>282</v>
      </c>
      <c r="G27" s="106">
        <v>-2.69E-2</v>
      </c>
      <c r="H27" s="31"/>
      <c r="I27" s="105">
        <v>45292</v>
      </c>
      <c r="J27" s="31">
        <v>1.4</v>
      </c>
      <c r="K27" s="31">
        <v>1.41</v>
      </c>
      <c r="L27" s="31">
        <v>1.43</v>
      </c>
      <c r="M27" s="31">
        <v>1.37</v>
      </c>
      <c r="N27" s="31" t="s">
        <v>343</v>
      </c>
      <c r="O27" s="106">
        <v>0</v>
      </c>
      <c r="S27" s="105">
        <v>45292</v>
      </c>
      <c r="T27" s="31">
        <v>7.18</v>
      </c>
      <c r="U27" s="31">
        <v>7.02</v>
      </c>
      <c r="V27" s="31">
        <v>7.2</v>
      </c>
      <c r="W27" s="31">
        <v>6.74</v>
      </c>
      <c r="X27" s="31" t="s">
        <v>406</v>
      </c>
      <c r="Y27" s="31">
        <v>2.5700000000000001E-2</v>
      </c>
      <c r="AB27" s="105">
        <v>45292</v>
      </c>
      <c r="AC27" s="31">
        <v>168.7</v>
      </c>
      <c r="AD27" s="31">
        <v>174</v>
      </c>
      <c r="AE27" s="31">
        <v>183.4</v>
      </c>
      <c r="AF27" s="31">
        <v>158.22999999999999</v>
      </c>
      <c r="AG27" s="31" t="s">
        <v>466</v>
      </c>
      <c r="AH27" s="31">
        <v>-3.5999999999999997E-2</v>
      </c>
      <c r="AK27" s="105">
        <v>45292</v>
      </c>
      <c r="AL27" s="31">
        <v>85.85</v>
      </c>
      <c r="AM27" s="31">
        <v>84.9</v>
      </c>
      <c r="AN27" s="31">
        <v>93.3</v>
      </c>
      <c r="AO27" s="31">
        <v>80</v>
      </c>
      <c r="AP27" s="31" t="s">
        <v>527</v>
      </c>
      <c r="AQ27" s="31">
        <v>1.4800000000000001E-2</v>
      </c>
    </row>
    <row r="28" spans="1:43" x14ac:dyDescent="0.25">
      <c r="A28" s="105">
        <v>44938</v>
      </c>
      <c r="B28" s="93">
        <v>3240.27</v>
      </c>
      <c r="C28" s="93">
        <v>3081.25</v>
      </c>
      <c r="D28" s="93">
        <v>3250.05</v>
      </c>
      <c r="E28" s="93">
        <v>3052.35</v>
      </c>
      <c r="F28" s="31" t="s">
        <v>283</v>
      </c>
      <c r="G28" s="106">
        <v>5.4399999999999997E-2</v>
      </c>
      <c r="H28" s="31"/>
      <c r="I28" s="105">
        <v>44938</v>
      </c>
      <c r="J28" s="31">
        <v>1.4</v>
      </c>
      <c r="K28" s="31">
        <v>1.29</v>
      </c>
      <c r="L28" s="31">
        <v>1.41</v>
      </c>
      <c r="M28" s="31">
        <v>1.28</v>
      </c>
      <c r="N28" s="31" t="s">
        <v>344</v>
      </c>
      <c r="O28" s="106">
        <v>8.5300000000000001E-2</v>
      </c>
      <c r="S28" s="105">
        <v>44938</v>
      </c>
      <c r="T28" s="31">
        <v>7</v>
      </c>
      <c r="U28" s="31">
        <v>6.61</v>
      </c>
      <c r="V28" s="31">
        <v>7.06</v>
      </c>
      <c r="W28" s="31">
        <v>6.49</v>
      </c>
      <c r="X28" s="31" t="s">
        <v>407</v>
      </c>
      <c r="Y28" s="31">
        <v>5.5800000000000002E-2</v>
      </c>
      <c r="AB28" s="31">
        <v>44938</v>
      </c>
      <c r="AC28" s="31">
        <v>175</v>
      </c>
      <c r="AD28" s="31">
        <v>154</v>
      </c>
      <c r="AE28" s="31">
        <v>177</v>
      </c>
      <c r="AF28" s="31">
        <v>154</v>
      </c>
      <c r="AG28" s="31" t="s">
        <v>467</v>
      </c>
      <c r="AH28" s="31">
        <v>9.2399999999999996E-2</v>
      </c>
      <c r="AK28" s="31">
        <v>44938</v>
      </c>
      <c r="AL28" s="31">
        <v>84.6</v>
      </c>
      <c r="AM28" s="31">
        <v>65.7</v>
      </c>
      <c r="AN28" s="31">
        <v>86.6</v>
      </c>
      <c r="AO28" s="31">
        <v>64.349999999999994</v>
      </c>
      <c r="AP28" s="31" t="s">
        <v>528</v>
      </c>
      <c r="AQ28" s="31">
        <v>0.26550000000000001</v>
      </c>
    </row>
    <row r="29" spans="1:43" x14ac:dyDescent="0.25">
      <c r="A29" s="105">
        <v>44937</v>
      </c>
      <c r="B29" s="93">
        <v>3072.99</v>
      </c>
      <c r="C29" s="93">
        <v>3071.74</v>
      </c>
      <c r="D29" s="93">
        <v>3180.53</v>
      </c>
      <c r="E29" s="93">
        <v>3061.6</v>
      </c>
      <c r="F29" s="31" t="s">
        <v>284</v>
      </c>
      <c r="G29" s="106">
        <v>1.6999999999999999E-3</v>
      </c>
      <c r="H29" s="31"/>
      <c r="I29" s="105">
        <v>44937</v>
      </c>
      <c r="J29" s="31">
        <v>1.29</v>
      </c>
      <c r="K29" s="31">
        <v>1.31</v>
      </c>
      <c r="L29" s="31">
        <v>1.35</v>
      </c>
      <c r="M29" s="31">
        <v>1.28</v>
      </c>
      <c r="N29" s="31" t="s">
        <v>345</v>
      </c>
      <c r="O29" s="106">
        <v>-2.2700000000000001E-2</v>
      </c>
      <c r="S29" s="105">
        <v>44937</v>
      </c>
      <c r="T29" s="31">
        <v>6.63</v>
      </c>
      <c r="U29" s="31">
        <v>6.08</v>
      </c>
      <c r="V29" s="31">
        <v>6.84</v>
      </c>
      <c r="W29" s="31">
        <v>5.97</v>
      </c>
      <c r="X29" s="31" t="s">
        <v>408</v>
      </c>
      <c r="Y29" s="31">
        <v>0.1013</v>
      </c>
      <c r="AB29" s="105">
        <v>44937</v>
      </c>
      <c r="AC29" s="31">
        <v>160.19999999999999</v>
      </c>
      <c r="AD29" s="31">
        <v>160</v>
      </c>
      <c r="AE29" s="31">
        <v>183.5</v>
      </c>
      <c r="AF29" s="31">
        <v>151</v>
      </c>
      <c r="AG29" s="31" t="s">
        <v>468</v>
      </c>
      <c r="AH29" s="31">
        <v>1.46E-2</v>
      </c>
      <c r="AK29" s="105">
        <v>44937</v>
      </c>
      <c r="AL29" s="31">
        <v>66.849999999999994</v>
      </c>
      <c r="AM29" s="31">
        <v>61</v>
      </c>
      <c r="AN29" s="31">
        <v>70.2</v>
      </c>
      <c r="AO29" s="31">
        <v>59.05</v>
      </c>
      <c r="AP29" s="31" t="s">
        <v>529</v>
      </c>
      <c r="AQ29" s="31">
        <v>6.9599999999999995E-2</v>
      </c>
    </row>
    <row r="30" spans="1:43" x14ac:dyDescent="0.25">
      <c r="A30" s="105">
        <v>44936</v>
      </c>
      <c r="B30" s="93">
        <v>3067.74</v>
      </c>
      <c r="C30" s="93">
        <v>3226.53</v>
      </c>
      <c r="D30" s="93">
        <v>3232.09</v>
      </c>
      <c r="E30" s="93">
        <v>3041.67</v>
      </c>
      <c r="F30" s="31" t="s">
        <v>285</v>
      </c>
      <c r="G30" s="106">
        <v>-4.65E-2</v>
      </c>
      <c r="H30" s="31"/>
      <c r="I30" s="105">
        <v>44936</v>
      </c>
      <c r="J30" s="31">
        <v>1.32</v>
      </c>
      <c r="K30" s="31">
        <v>1.29</v>
      </c>
      <c r="L30" s="31">
        <v>1.36</v>
      </c>
      <c r="M30" s="31">
        <v>1.27</v>
      </c>
      <c r="N30" s="31" t="s">
        <v>346</v>
      </c>
      <c r="O30" s="106">
        <v>1.54E-2</v>
      </c>
      <c r="S30" s="105">
        <v>44936</v>
      </c>
      <c r="T30" s="31">
        <v>6.02</v>
      </c>
      <c r="U30" s="31">
        <v>5.74</v>
      </c>
      <c r="V30" s="31">
        <v>6.42</v>
      </c>
      <c r="W30" s="31">
        <v>5.3</v>
      </c>
      <c r="X30" s="31" t="s">
        <v>409</v>
      </c>
      <c r="Y30" s="31">
        <v>5.0599999999999999E-2</v>
      </c>
      <c r="AB30" s="105">
        <v>44936</v>
      </c>
      <c r="AC30" s="31">
        <v>157.9</v>
      </c>
      <c r="AD30" s="31">
        <v>152.9</v>
      </c>
      <c r="AE30" s="31">
        <v>157.9</v>
      </c>
      <c r="AF30" s="31">
        <v>139.9</v>
      </c>
      <c r="AG30" s="31" t="s">
        <v>469</v>
      </c>
      <c r="AH30" s="31">
        <v>4.6399999999999997E-2</v>
      </c>
      <c r="AK30" s="105">
        <v>44936</v>
      </c>
      <c r="AL30" s="31">
        <v>62.5</v>
      </c>
      <c r="AM30" s="31">
        <v>89</v>
      </c>
      <c r="AN30" s="31">
        <v>92.25</v>
      </c>
      <c r="AO30" s="31">
        <v>54.55</v>
      </c>
      <c r="AP30" s="31" t="s">
        <v>530</v>
      </c>
      <c r="AQ30" s="31">
        <v>-0.29620000000000002</v>
      </c>
    </row>
    <row r="31" spans="1:43" x14ac:dyDescent="0.25">
      <c r="A31" s="105">
        <v>44935</v>
      </c>
      <c r="B31" s="93">
        <v>3217.41</v>
      </c>
      <c r="C31" s="93">
        <v>3240.53</v>
      </c>
      <c r="D31" s="93">
        <v>3289.07</v>
      </c>
      <c r="E31" s="93">
        <v>3179.33</v>
      </c>
      <c r="F31" s="31" t="s">
        <v>286</v>
      </c>
      <c r="G31" s="106">
        <v>-4.8999999999999998E-3</v>
      </c>
      <c r="H31" s="31"/>
      <c r="I31" s="105">
        <v>44935</v>
      </c>
      <c r="J31" s="31">
        <v>1.3</v>
      </c>
      <c r="K31" s="31">
        <v>1.27</v>
      </c>
      <c r="L31" s="31">
        <v>1.3</v>
      </c>
      <c r="M31" s="31">
        <v>1.25</v>
      </c>
      <c r="N31" s="31" t="s">
        <v>347</v>
      </c>
      <c r="O31" s="106">
        <v>2.3599999999999999E-2</v>
      </c>
      <c r="S31" s="105">
        <v>44935</v>
      </c>
      <c r="T31" s="31">
        <v>5.73</v>
      </c>
      <c r="U31" s="31">
        <v>6.3</v>
      </c>
      <c r="V31" s="31">
        <v>6.42</v>
      </c>
      <c r="W31" s="31">
        <v>5.6</v>
      </c>
      <c r="X31" s="31" t="s">
        <v>410</v>
      </c>
      <c r="Y31" s="31">
        <v>-9.6199999999999994E-2</v>
      </c>
      <c r="AB31" s="105">
        <v>44935</v>
      </c>
      <c r="AC31" s="31">
        <v>150.9</v>
      </c>
      <c r="AD31" s="31">
        <v>140</v>
      </c>
      <c r="AE31" s="31">
        <v>161.9</v>
      </c>
      <c r="AF31" s="31">
        <v>140</v>
      </c>
      <c r="AG31" s="31" t="s">
        <v>470</v>
      </c>
      <c r="AH31" s="31">
        <v>0.04</v>
      </c>
      <c r="AK31" s="105">
        <v>44935</v>
      </c>
      <c r="AL31" s="31">
        <v>88.8</v>
      </c>
      <c r="AM31" s="31">
        <v>85</v>
      </c>
      <c r="AN31" s="31">
        <v>90.4</v>
      </c>
      <c r="AO31" s="31">
        <v>82.2</v>
      </c>
      <c r="AP31" s="31" t="s">
        <v>531</v>
      </c>
      <c r="AQ31" s="31">
        <v>6.0900000000000003E-2</v>
      </c>
    </row>
    <row r="32" spans="1:43" x14ac:dyDescent="0.25">
      <c r="A32" s="105">
        <v>44934</v>
      </c>
      <c r="B32" s="93">
        <v>3233.3</v>
      </c>
      <c r="C32" s="93">
        <v>3383.07</v>
      </c>
      <c r="D32" s="93">
        <v>3385.68</v>
      </c>
      <c r="E32" s="93">
        <v>3143.9</v>
      </c>
      <c r="F32" s="31" t="s">
        <v>287</v>
      </c>
      <c r="G32" s="106">
        <v>-4.1700000000000001E-2</v>
      </c>
      <c r="H32" s="31"/>
      <c r="I32" s="105">
        <v>44934</v>
      </c>
      <c r="J32" s="31">
        <v>1.27</v>
      </c>
      <c r="K32" s="31">
        <v>1.25</v>
      </c>
      <c r="L32" s="31">
        <v>1.3</v>
      </c>
      <c r="M32" s="31">
        <v>1.23</v>
      </c>
      <c r="N32" s="31" t="s">
        <v>348</v>
      </c>
      <c r="O32" s="106">
        <v>7.9000000000000008E-3</v>
      </c>
      <c r="S32" s="105">
        <v>44934</v>
      </c>
      <c r="T32" s="31">
        <v>6.34</v>
      </c>
      <c r="U32" s="31">
        <v>6.95</v>
      </c>
      <c r="V32" s="31">
        <v>6.99</v>
      </c>
      <c r="W32" s="31">
        <v>6.13</v>
      </c>
      <c r="X32" s="31" t="s">
        <v>411</v>
      </c>
      <c r="Y32" s="31">
        <v>-8.5099999999999995E-2</v>
      </c>
      <c r="AB32" s="105">
        <v>44934</v>
      </c>
      <c r="AC32" s="31">
        <v>145.1</v>
      </c>
      <c r="AD32" s="31">
        <v>149</v>
      </c>
      <c r="AE32" s="31">
        <v>166.7</v>
      </c>
      <c r="AF32" s="31">
        <v>135</v>
      </c>
      <c r="AG32" s="31" t="s">
        <v>471</v>
      </c>
      <c r="AH32" s="31">
        <v>-8.2000000000000007E-3</v>
      </c>
      <c r="AK32" s="105">
        <v>44934</v>
      </c>
      <c r="AL32" s="31">
        <v>83.7</v>
      </c>
      <c r="AM32" s="31">
        <v>94.5</v>
      </c>
      <c r="AN32" s="31">
        <v>95.4</v>
      </c>
      <c r="AO32" s="31">
        <v>75.3</v>
      </c>
      <c r="AP32" s="31" t="s">
        <v>532</v>
      </c>
      <c r="AQ32" s="31">
        <v>-0.10340000000000001</v>
      </c>
    </row>
    <row r="33" spans="1:43" x14ac:dyDescent="0.25">
      <c r="A33" s="105">
        <v>44933</v>
      </c>
      <c r="B33" s="93">
        <v>3373.98</v>
      </c>
      <c r="C33" s="93">
        <v>3215.56</v>
      </c>
      <c r="D33" s="93">
        <v>3392.63</v>
      </c>
      <c r="E33" s="93">
        <v>3128.7</v>
      </c>
      <c r="F33" s="31" t="s">
        <v>288</v>
      </c>
      <c r="G33" s="106">
        <v>5.2400000000000002E-2</v>
      </c>
      <c r="H33" s="31"/>
      <c r="I33" s="105">
        <v>44933</v>
      </c>
      <c r="J33" s="31">
        <v>1.26</v>
      </c>
      <c r="K33" s="31">
        <v>1.1599999999999999</v>
      </c>
      <c r="L33" s="31">
        <v>1.26</v>
      </c>
      <c r="M33" s="31">
        <v>1.1599999999999999</v>
      </c>
      <c r="N33" s="31" t="s">
        <v>349</v>
      </c>
      <c r="O33" s="106">
        <v>8.6199999999999999E-2</v>
      </c>
      <c r="S33" s="105">
        <v>44933</v>
      </c>
      <c r="T33" s="31">
        <v>6.93</v>
      </c>
      <c r="U33" s="31">
        <v>7.36</v>
      </c>
      <c r="V33" s="31">
        <v>7.44</v>
      </c>
      <c r="W33" s="31">
        <v>6.84</v>
      </c>
      <c r="X33" s="31" t="s">
        <v>412</v>
      </c>
      <c r="Y33" s="31">
        <v>-4.5499999999999999E-2</v>
      </c>
      <c r="AB33" s="105">
        <v>44933</v>
      </c>
      <c r="AC33" s="31">
        <v>146.30000000000001</v>
      </c>
      <c r="AD33" s="31">
        <v>147.19999999999999</v>
      </c>
      <c r="AE33" s="31">
        <v>156.04</v>
      </c>
      <c r="AF33" s="31">
        <v>134.9</v>
      </c>
      <c r="AG33" s="31" t="s">
        <v>472</v>
      </c>
      <c r="AH33" s="31">
        <v>2.7000000000000001E-3</v>
      </c>
      <c r="AK33" s="105">
        <v>44933</v>
      </c>
      <c r="AL33" s="31">
        <v>93.35</v>
      </c>
      <c r="AM33" s="31">
        <v>98.55</v>
      </c>
      <c r="AN33" s="31">
        <v>107.9</v>
      </c>
      <c r="AO33" s="31">
        <v>90.5</v>
      </c>
      <c r="AP33" s="31" t="s">
        <v>533</v>
      </c>
      <c r="AQ33" s="31">
        <v>-4.0099999999999997E-2</v>
      </c>
    </row>
    <row r="34" spans="1:43" x14ac:dyDescent="0.25">
      <c r="A34" s="105">
        <v>44932</v>
      </c>
      <c r="B34" s="93">
        <v>3205.91</v>
      </c>
      <c r="C34" s="93">
        <v>3162.52</v>
      </c>
      <c r="D34" s="93">
        <v>3277.51</v>
      </c>
      <c r="E34" s="93">
        <v>3155.52</v>
      </c>
      <c r="F34" s="31" t="s">
        <v>289</v>
      </c>
      <c r="G34" s="106">
        <v>1.49E-2</v>
      </c>
      <c r="H34" s="31"/>
      <c r="I34" s="105">
        <v>44932</v>
      </c>
      <c r="J34" s="31">
        <v>1.1599999999999999</v>
      </c>
      <c r="K34" s="31">
        <v>1.1000000000000001</v>
      </c>
      <c r="L34" s="31">
        <v>1.2</v>
      </c>
      <c r="M34" s="31">
        <v>1.01</v>
      </c>
      <c r="N34" s="31" t="s">
        <v>350</v>
      </c>
      <c r="O34" s="106">
        <v>5.45E-2</v>
      </c>
      <c r="S34" s="105">
        <v>44932</v>
      </c>
      <c r="T34" s="31">
        <v>7.26</v>
      </c>
      <c r="U34" s="31">
        <v>6.75</v>
      </c>
      <c r="V34" s="31">
        <v>7.51</v>
      </c>
      <c r="W34" s="31">
        <v>6.68</v>
      </c>
      <c r="X34" s="31" t="s">
        <v>413</v>
      </c>
      <c r="Y34" s="31">
        <v>6.7599999999999993E-2</v>
      </c>
      <c r="AB34" s="105">
        <v>44932</v>
      </c>
      <c r="AC34" s="31">
        <v>145.9</v>
      </c>
      <c r="AD34" s="31">
        <v>122.8</v>
      </c>
      <c r="AE34" s="31">
        <v>147.69999999999999</v>
      </c>
      <c r="AF34" s="31">
        <v>109.9</v>
      </c>
      <c r="AG34" s="31" t="s">
        <v>473</v>
      </c>
      <c r="AH34" s="31">
        <v>0.27089999999999997</v>
      </c>
      <c r="AK34" s="105">
        <v>44932</v>
      </c>
      <c r="AL34" s="31">
        <v>97.25</v>
      </c>
      <c r="AM34" s="31">
        <v>104.4</v>
      </c>
      <c r="AN34" s="31">
        <v>120</v>
      </c>
      <c r="AO34" s="31">
        <v>95.51</v>
      </c>
      <c r="AP34" s="31" t="s">
        <v>534</v>
      </c>
      <c r="AQ34" s="31">
        <v>-8.8599999999999998E-2</v>
      </c>
    </row>
    <row r="35" spans="1:43" x14ac:dyDescent="0.25">
      <c r="A35" s="105">
        <v>44931</v>
      </c>
      <c r="B35" s="93">
        <v>3158.8</v>
      </c>
      <c r="C35" s="93">
        <v>3291.43</v>
      </c>
      <c r="D35" s="93">
        <v>3309.68</v>
      </c>
      <c r="E35" s="93">
        <v>3156.15</v>
      </c>
      <c r="F35" s="31" t="s">
        <v>290</v>
      </c>
      <c r="G35" s="106">
        <v>-3.4200000000000001E-2</v>
      </c>
      <c r="H35" s="31"/>
      <c r="I35" s="105">
        <v>44931</v>
      </c>
      <c r="J35" s="31">
        <v>1.1000000000000001</v>
      </c>
      <c r="K35" s="31">
        <v>1.1759999999999999</v>
      </c>
      <c r="L35" s="31">
        <v>1.21</v>
      </c>
      <c r="M35" s="31">
        <v>1.0900000000000001</v>
      </c>
      <c r="N35" s="31" t="s">
        <v>351</v>
      </c>
      <c r="O35" s="106">
        <v>-5.6800000000000003E-2</v>
      </c>
      <c r="S35" s="105">
        <v>44931</v>
      </c>
      <c r="T35" s="31">
        <v>6.8</v>
      </c>
      <c r="U35" s="31">
        <v>6.15</v>
      </c>
      <c r="V35" s="31">
        <v>6.88</v>
      </c>
      <c r="W35" s="31">
        <v>6</v>
      </c>
      <c r="X35" s="31" t="s">
        <v>414</v>
      </c>
      <c r="Y35" s="31">
        <v>0.1148</v>
      </c>
      <c r="AB35" s="105">
        <v>44931</v>
      </c>
      <c r="AC35" s="31">
        <v>114.8</v>
      </c>
      <c r="AD35" s="31">
        <v>112.4</v>
      </c>
      <c r="AE35" s="31">
        <v>127.1</v>
      </c>
      <c r="AF35" s="31">
        <v>109.8</v>
      </c>
      <c r="AG35" s="31" t="s">
        <v>474</v>
      </c>
      <c r="AH35" s="31">
        <v>2.1399999999999999E-2</v>
      </c>
      <c r="AK35" s="105">
        <v>44931</v>
      </c>
      <c r="AL35" s="31">
        <v>106.7</v>
      </c>
      <c r="AM35" s="31">
        <v>124.1</v>
      </c>
      <c r="AN35" s="31">
        <v>124.3</v>
      </c>
      <c r="AO35" s="31">
        <v>103.7</v>
      </c>
      <c r="AP35" s="31" t="s">
        <v>535</v>
      </c>
      <c r="AQ35" s="31">
        <v>-0.1211</v>
      </c>
    </row>
    <row r="36" spans="1:43" x14ac:dyDescent="0.25">
      <c r="A36" s="105">
        <v>44930</v>
      </c>
      <c r="B36" s="93">
        <v>3270.51</v>
      </c>
      <c r="C36" s="93">
        <v>3272.48</v>
      </c>
      <c r="D36" s="93">
        <v>3331.66</v>
      </c>
      <c r="E36" s="93">
        <v>3263.36</v>
      </c>
      <c r="F36" s="31" t="s">
        <v>291</v>
      </c>
      <c r="G36" s="106">
        <v>3.5999999999999999E-3</v>
      </c>
      <c r="H36" s="31"/>
      <c r="I36" s="105">
        <v>44930</v>
      </c>
      <c r="J36" s="31">
        <v>1.1659999999999999</v>
      </c>
      <c r="K36" s="31">
        <v>1.1659999999999999</v>
      </c>
      <c r="L36" s="31">
        <v>1.196</v>
      </c>
      <c r="M36" s="31">
        <v>1.1559999999999999</v>
      </c>
      <c r="N36" s="31" t="s">
        <v>352</v>
      </c>
      <c r="O36" s="106">
        <v>8.5000000000000006E-3</v>
      </c>
      <c r="S36" s="105">
        <v>44930</v>
      </c>
      <c r="T36" s="31">
        <v>6.1</v>
      </c>
      <c r="U36" s="31">
        <v>5.91</v>
      </c>
      <c r="V36" s="31">
        <v>6.16</v>
      </c>
      <c r="W36" s="31">
        <v>5.57</v>
      </c>
      <c r="X36" s="31" t="s">
        <v>415</v>
      </c>
      <c r="Y36" s="31">
        <v>4.2700000000000002E-2</v>
      </c>
      <c r="AB36" s="105">
        <v>44930</v>
      </c>
      <c r="AC36" s="31">
        <v>112.4</v>
      </c>
      <c r="AD36" s="31">
        <v>100.6</v>
      </c>
      <c r="AE36" s="31">
        <v>116</v>
      </c>
      <c r="AF36" s="31">
        <v>98.1</v>
      </c>
      <c r="AG36" s="31" t="s">
        <v>475</v>
      </c>
      <c r="AH36" s="31">
        <v>8.1799999999999998E-2</v>
      </c>
      <c r="AK36" s="105">
        <v>44930</v>
      </c>
      <c r="AL36" s="31">
        <v>121.4</v>
      </c>
      <c r="AM36" s="31">
        <v>122</v>
      </c>
      <c r="AN36" s="31">
        <v>127.6</v>
      </c>
      <c r="AO36" s="31">
        <v>115.3</v>
      </c>
      <c r="AP36" s="31" t="s">
        <v>536</v>
      </c>
      <c r="AQ36" s="31">
        <v>-2.5000000000000001E-3</v>
      </c>
    </row>
    <row r="37" spans="1:43" x14ac:dyDescent="0.25">
      <c r="A37" s="105">
        <v>44929</v>
      </c>
      <c r="B37" s="93">
        <v>3258.9</v>
      </c>
      <c r="C37" s="93">
        <v>3265.5</v>
      </c>
      <c r="D37" s="93">
        <v>3275.1</v>
      </c>
      <c r="E37" s="93">
        <v>3094.28</v>
      </c>
      <c r="F37" s="31" t="s">
        <v>292</v>
      </c>
      <c r="G37" s="106">
        <v>-1.1000000000000001E-3</v>
      </c>
      <c r="H37" s="31"/>
      <c r="I37" s="105">
        <v>44929</v>
      </c>
      <c r="J37" s="31">
        <v>1.1559999999999999</v>
      </c>
      <c r="K37" s="31">
        <v>1.1759999999999999</v>
      </c>
      <c r="L37" s="31">
        <v>1.196</v>
      </c>
      <c r="M37" s="31">
        <v>1.137</v>
      </c>
      <c r="N37" s="31" t="s">
        <v>353</v>
      </c>
      <c r="O37" s="106">
        <v>-2.4799999999999999E-2</v>
      </c>
      <c r="S37" s="105">
        <v>44929</v>
      </c>
      <c r="T37" s="31">
        <v>5.85</v>
      </c>
      <c r="U37" s="31">
        <v>6.31</v>
      </c>
      <c r="V37" s="31">
        <v>6.55</v>
      </c>
      <c r="W37" s="31">
        <v>5.61</v>
      </c>
      <c r="X37" s="31" t="s">
        <v>416</v>
      </c>
      <c r="Y37" s="31">
        <v>-9.6199999999999994E-2</v>
      </c>
      <c r="AB37" s="105">
        <v>44929</v>
      </c>
      <c r="AC37" s="31">
        <v>103.9</v>
      </c>
      <c r="AD37" s="31">
        <v>104.9</v>
      </c>
      <c r="AE37" s="31">
        <v>111.5</v>
      </c>
      <c r="AF37" s="31">
        <v>92.66</v>
      </c>
      <c r="AG37" s="31" t="s">
        <v>476</v>
      </c>
      <c r="AH37" s="31">
        <v>-1.52E-2</v>
      </c>
      <c r="AK37" s="105">
        <v>44929</v>
      </c>
      <c r="AL37" s="31">
        <v>121.7</v>
      </c>
      <c r="AM37" s="31">
        <v>124.94</v>
      </c>
      <c r="AN37" s="31">
        <v>147.94</v>
      </c>
      <c r="AO37" s="31">
        <v>111.1</v>
      </c>
      <c r="AP37" s="31" t="s">
        <v>537</v>
      </c>
      <c r="AQ37" s="31">
        <v>-2.2499999999999999E-2</v>
      </c>
    </row>
    <row r="38" spans="1:43" x14ac:dyDescent="0.25">
      <c r="A38" s="105">
        <v>44928</v>
      </c>
      <c r="B38" s="93">
        <v>3262.63</v>
      </c>
      <c r="C38" s="93">
        <v>3385.36</v>
      </c>
      <c r="D38" s="93">
        <v>3397.32</v>
      </c>
      <c r="E38" s="93">
        <v>3260.58</v>
      </c>
      <c r="F38" s="31" t="s">
        <v>293</v>
      </c>
      <c r="G38" s="106">
        <v>-3.0599999999999999E-2</v>
      </c>
      <c r="H38" s="31"/>
      <c r="I38" s="105">
        <v>44928</v>
      </c>
      <c r="J38" s="31">
        <v>1.1859999999999999</v>
      </c>
      <c r="K38" s="31">
        <v>1.1759999999999999</v>
      </c>
      <c r="L38" s="31">
        <v>1.2050000000000001</v>
      </c>
      <c r="M38" s="31">
        <v>1.127</v>
      </c>
      <c r="N38" s="31" t="s">
        <v>354</v>
      </c>
      <c r="O38" s="106">
        <v>8.3000000000000001E-3</v>
      </c>
      <c r="S38" s="105">
        <v>44928</v>
      </c>
      <c r="T38" s="31">
        <v>6.47</v>
      </c>
      <c r="U38" s="31">
        <v>5.87</v>
      </c>
      <c r="V38" s="31">
        <v>6.65</v>
      </c>
      <c r="W38" s="31">
        <v>5.63</v>
      </c>
      <c r="X38" s="31" t="s">
        <v>417</v>
      </c>
      <c r="Y38" s="31">
        <v>0.12520000000000001</v>
      </c>
      <c r="AB38" s="105">
        <v>44928</v>
      </c>
      <c r="AC38" s="31">
        <v>105.5</v>
      </c>
      <c r="AD38" s="31">
        <v>105.8</v>
      </c>
      <c r="AE38" s="31">
        <v>115.4</v>
      </c>
      <c r="AF38" s="31">
        <v>99.3</v>
      </c>
      <c r="AG38" s="31" t="s">
        <v>477</v>
      </c>
      <c r="AH38" s="31">
        <v>-2.6800000000000001E-2</v>
      </c>
      <c r="AK38" s="105">
        <v>44928</v>
      </c>
      <c r="AL38" s="31">
        <v>124.5</v>
      </c>
      <c r="AM38" s="31">
        <v>134</v>
      </c>
      <c r="AN38" s="31">
        <v>141.80000000000001</v>
      </c>
      <c r="AO38" s="31">
        <v>119</v>
      </c>
      <c r="AP38" s="31" t="s">
        <v>538</v>
      </c>
      <c r="AQ38" s="31">
        <v>-6.5299999999999997E-2</v>
      </c>
    </row>
    <row r="39" spans="1:43" x14ac:dyDescent="0.25">
      <c r="A39" s="105">
        <v>44927</v>
      </c>
      <c r="B39" s="93">
        <v>3365.67</v>
      </c>
      <c r="C39" s="93">
        <v>3243.99</v>
      </c>
      <c r="D39" s="93">
        <v>3408.19</v>
      </c>
      <c r="E39" s="93">
        <v>3212.63</v>
      </c>
      <c r="F39" s="31" t="s">
        <v>294</v>
      </c>
      <c r="G39" s="106">
        <v>3.5200000000000002E-2</v>
      </c>
      <c r="H39" s="31"/>
      <c r="I39" s="105">
        <v>44927</v>
      </c>
      <c r="J39" s="31">
        <v>1.1759999999999999</v>
      </c>
      <c r="K39" s="31">
        <v>1.2150000000000001</v>
      </c>
      <c r="L39" s="31">
        <v>1.2150000000000001</v>
      </c>
      <c r="M39" s="31">
        <v>1.107</v>
      </c>
      <c r="N39" s="31" t="s">
        <v>355</v>
      </c>
      <c r="O39" s="106">
        <v>-2.4400000000000002E-2</v>
      </c>
      <c r="S39" s="105">
        <v>44927</v>
      </c>
      <c r="T39" s="31">
        <v>5.75</v>
      </c>
      <c r="U39" s="31">
        <v>5.73</v>
      </c>
      <c r="V39" s="31">
        <v>5.94</v>
      </c>
      <c r="W39" s="31">
        <v>5.53</v>
      </c>
      <c r="X39" s="31" t="s">
        <v>418</v>
      </c>
      <c r="Y39" s="31">
        <v>1.3899999999999999E-2</v>
      </c>
      <c r="AB39" s="105">
        <v>44927</v>
      </c>
      <c r="AC39" s="31">
        <v>108.4</v>
      </c>
      <c r="AD39" s="31">
        <v>101</v>
      </c>
      <c r="AE39" s="31">
        <v>114.3</v>
      </c>
      <c r="AF39" s="31">
        <v>101</v>
      </c>
      <c r="AG39" s="31" t="s">
        <v>478</v>
      </c>
      <c r="AH39" s="31">
        <v>7.3300000000000004E-2</v>
      </c>
      <c r="AK39" s="105">
        <v>44927</v>
      </c>
      <c r="AL39" s="31">
        <v>133.19999999999999</v>
      </c>
      <c r="AM39" s="31">
        <v>131.69999999999999</v>
      </c>
      <c r="AN39" s="31">
        <v>147.6</v>
      </c>
      <c r="AO39" s="31">
        <v>130</v>
      </c>
      <c r="AP39" s="31" t="s">
        <v>539</v>
      </c>
      <c r="AQ39" s="31">
        <v>2.46E-2</v>
      </c>
    </row>
    <row r="40" spans="1:43" x14ac:dyDescent="0.25">
      <c r="A40" s="105">
        <v>44573</v>
      </c>
      <c r="B40" s="93">
        <v>3251.32</v>
      </c>
      <c r="C40" s="93">
        <v>3306.49</v>
      </c>
      <c r="D40" s="93">
        <v>3313.8</v>
      </c>
      <c r="E40" s="93">
        <v>3225.45</v>
      </c>
      <c r="F40" s="31" t="s">
        <v>295</v>
      </c>
      <c r="G40" s="106">
        <v>-1.1900000000000001E-2</v>
      </c>
      <c r="H40" s="31"/>
      <c r="I40" s="105">
        <v>44573</v>
      </c>
      <c r="J40" s="31">
        <v>1.2050000000000001</v>
      </c>
      <c r="K40" s="31">
        <v>1.2150000000000001</v>
      </c>
      <c r="L40" s="31">
        <v>1.2450000000000001</v>
      </c>
      <c r="M40" s="31">
        <v>1.1859999999999999</v>
      </c>
      <c r="N40" s="31" t="s">
        <v>356</v>
      </c>
      <c r="O40" s="106">
        <v>0</v>
      </c>
      <c r="S40" s="105">
        <v>44573</v>
      </c>
      <c r="T40" s="31">
        <v>5.67</v>
      </c>
      <c r="U40" s="31">
        <v>5.48</v>
      </c>
      <c r="V40" s="31">
        <v>6.12</v>
      </c>
      <c r="W40" s="31">
        <v>5.27</v>
      </c>
      <c r="X40" s="31" t="s">
        <v>419</v>
      </c>
      <c r="Y40" s="31">
        <v>4.9299999999999997E-2</v>
      </c>
      <c r="AB40" s="105">
        <v>44573</v>
      </c>
      <c r="AC40" s="31">
        <v>101</v>
      </c>
      <c r="AD40" s="31">
        <v>102.1</v>
      </c>
      <c r="AE40" s="31">
        <v>105.7</v>
      </c>
      <c r="AF40" s="31">
        <v>94.15</v>
      </c>
      <c r="AG40" s="31" t="s">
        <v>479</v>
      </c>
      <c r="AH40" s="31">
        <v>-1.0800000000000001E-2</v>
      </c>
      <c r="AK40" s="105">
        <v>44573</v>
      </c>
      <c r="AL40" s="31">
        <v>130</v>
      </c>
      <c r="AM40" s="31">
        <v>173</v>
      </c>
      <c r="AN40" s="31">
        <v>175.4</v>
      </c>
      <c r="AO40" s="31">
        <v>124.7</v>
      </c>
      <c r="AP40" s="31" t="s">
        <v>540</v>
      </c>
      <c r="AQ40" s="31">
        <v>-0.24640000000000001</v>
      </c>
    </row>
    <row r="41" spans="1:43" x14ac:dyDescent="0.25">
      <c r="A41" s="105">
        <v>44572</v>
      </c>
      <c r="B41" s="93">
        <v>3290.49</v>
      </c>
      <c r="C41" s="93">
        <v>3107</v>
      </c>
      <c r="D41" s="93">
        <v>3308.3</v>
      </c>
      <c r="E41" s="93">
        <v>3091.18</v>
      </c>
      <c r="F41" s="31" t="s">
        <v>296</v>
      </c>
      <c r="G41" s="106">
        <v>6.3799999999999996E-2</v>
      </c>
      <c r="H41" s="31"/>
      <c r="I41" s="105">
        <v>44572</v>
      </c>
      <c r="J41" s="31">
        <v>1.2050000000000001</v>
      </c>
      <c r="K41" s="31">
        <v>1.254</v>
      </c>
      <c r="L41" s="31">
        <v>1.3520000000000001</v>
      </c>
      <c r="M41" s="31">
        <v>1.1859999999999999</v>
      </c>
      <c r="N41" s="31" t="s">
        <v>357</v>
      </c>
      <c r="O41" s="106">
        <v>-3.15E-2</v>
      </c>
      <c r="S41" s="105">
        <v>44572</v>
      </c>
      <c r="T41" s="31">
        <v>5.41</v>
      </c>
      <c r="U41" s="31">
        <v>4.5599999999999996</v>
      </c>
      <c r="V41" s="31">
        <v>5.51</v>
      </c>
      <c r="W41" s="31">
        <v>4.5199999999999996</v>
      </c>
      <c r="X41" s="31" t="s">
        <v>420</v>
      </c>
      <c r="Y41" s="31">
        <v>0.1734</v>
      </c>
      <c r="AB41" s="31">
        <v>44572</v>
      </c>
      <c r="AC41" s="31">
        <v>102.1</v>
      </c>
      <c r="AD41" s="31">
        <v>106.6</v>
      </c>
      <c r="AE41" s="31">
        <v>113.2</v>
      </c>
      <c r="AF41" s="31">
        <v>89.55</v>
      </c>
      <c r="AG41" s="31" t="s">
        <v>480</v>
      </c>
      <c r="AH41" s="31">
        <v>-2.9499999999999998E-2</v>
      </c>
      <c r="AK41" s="31">
        <v>44572</v>
      </c>
      <c r="AL41" s="31">
        <v>172.5</v>
      </c>
      <c r="AM41" s="31">
        <v>169.2</v>
      </c>
      <c r="AN41" s="31">
        <v>185.8</v>
      </c>
      <c r="AO41" s="31">
        <v>166.1</v>
      </c>
      <c r="AP41" s="31" t="s">
        <v>541</v>
      </c>
      <c r="AQ41" s="31">
        <v>1.95E-2</v>
      </c>
    </row>
    <row r="42" spans="1:43" x14ac:dyDescent="0.25">
      <c r="A42" s="105">
        <v>44571</v>
      </c>
      <c r="B42" s="93">
        <v>3093.11</v>
      </c>
      <c r="C42" s="93">
        <v>3113</v>
      </c>
      <c r="D42" s="93">
        <v>3168.4</v>
      </c>
      <c r="E42" s="93">
        <v>2968.87</v>
      </c>
      <c r="F42" s="31" t="s">
        <v>265</v>
      </c>
      <c r="G42" s="106">
        <v>-1.1900000000000001E-2</v>
      </c>
      <c r="H42" s="31"/>
      <c r="I42" s="105">
        <v>44571</v>
      </c>
      <c r="J42" s="31">
        <v>1.2450000000000001</v>
      </c>
      <c r="K42" s="31">
        <v>1.274</v>
      </c>
      <c r="L42" s="31">
        <v>1.284</v>
      </c>
      <c r="M42" s="31">
        <v>1.2050000000000001</v>
      </c>
      <c r="N42" s="31" t="s">
        <v>358</v>
      </c>
      <c r="O42" s="106">
        <v>-3.7900000000000003E-2</v>
      </c>
      <c r="S42" s="105">
        <v>44571</v>
      </c>
      <c r="T42" s="31">
        <v>4.6100000000000003</v>
      </c>
      <c r="U42" s="31">
        <v>4.76</v>
      </c>
      <c r="V42" s="31">
        <v>4.9400000000000004</v>
      </c>
      <c r="W42" s="31">
        <v>4.26</v>
      </c>
      <c r="X42" s="31" t="s">
        <v>421</v>
      </c>
      <c r="Y42" s="31">
        <v>-3.3099999999999997E-2</v>
      </c>
      <c r="AB42" s="105">
        <v>44571</v>
      </c>
      <c r="AC42" s="31">
        <v>105.2</v>
      </c>
      <c r="AD42" s="31">
        <v>100</v>
      </c>
      <c r="AE42" s="31">
        <v>113</v>
      </c>
      <c r="AF42" s="31">
        <v>100</v>
      </c>
      <c r="AG42" s="31" t="s">
        <v>481</v>
      </c>
      <c r="AH42" s="31">
        <v>0</v>
      </c>
      <c r="AK42" s="105">
        <v>44571</v>
      </c>
      <c r="AL42" s="31">
        <v>169.2</v>
      </c>
      <c r="AM42" s="31">
        <v>166.68</v>
      </c>
      <c r="AN42" s="31">
        <v>179.5</v>
      </c>
      <c r="AO42" s="31">
        <v>156.5</v>
      </c>
      <c r="AP42" s="31" t="s">
        <v>542</v>
      </c>
      <c r="AQ42" s="31">
        <v>3.0000000000000001E-3</v>
      </c>
    </row>
    <row r="43" spans="1:43" x14ac:dyDescent="0.25">
      <c r="A43" s="105">
        <v>44570</v>
      </c>
      <c r="B43" s="93">
        <v>3130.24</v>
      </c>
      <c r="C43" s="93">
        <v>3211.56</v>
      </c>
      <c r="D43" s="93">
        <v>3297.59</v>
      </c>
      <c r="E43" s="93">
        <v>3098.24</v>
      </c>
      <c r="F43" s="31" t="s">
        <v>297</v>
      </c>
      <c r="G43" s="106">
        <v>-2.8400000000000002E-2</v>
      </c>
      <c r="H43" s="31"/>
      <c r="I43" s="105">
        <v>44570</v>
      </c>
      <c r="J43" s="31">
        <v>1.294</v>
      </c>
      <c r="K43" s="31">
        <v>1.3720000000000001</v>
      </c>
      <c r="L43" s="31">
        <v>1.3919999999999999</v>
      </c>
      <c r="M43" s="31">
        <v>1.264</v>
      </c>
      <c r="N43" s="31" t="s">
        <v>359</v>
      </c>
      <c r="O43" s="106">
        <v>-6.3799999999999996E-2</v>
      </c>
      <c r="S43" s="105">
        <v>44570</v>
      </c>
      <c r="T43" s="31">
        <v>4.7699999999999996</v>
      </c>
      <c r="U43" s="31">
        <v>5.46</v>
      </c>
      <c r="V43" s="31">
        <v>5.77</v>
      </c>
      <c r="W43" s="31">
        <v>4.7699999999999996</v>
      </c>
      <c r="X43" s="31" t="s">
        <v>422</v>
      </c>
      <c r="Y43" s="31">
        <v>-0.1138</v>
      </c>
      <c r="AB43" s="105">
        <v>44570</v>
      </c>
      <c r="AC43" s="31">
        <v>105.2</v>
      </c>
      <c r="AD43" s="31">
        <v>114.3</v>
      </c>
      <c r="AE43" s="31">
        <v>130.53</v>
      </c>
      <c r="AF43" s="31">
        <v>103.1</v>
      </c>
      <c r="AG43" s="31" t="s">
        <v>482</v>
      </c>
      <c r="AH43" s="31">
        <v>-8.5999999999999993E-2</v>
      </c>
      <c r="AK43" s="105">
        <v>44570</v>
      </c>
      <c r="AL43" s="31">
        <v>168.7</v>
      </c>
      <c r="AM43" s="31">
        <v>177</v>
      </c>
      <c r="AN43" s="31">
        <v>202.2</v>
      </c>
      <c r="AO43" s="31">
        <v>156.5</v>
      </c>
      <c r="AP43" s="31" t="s">
        <v>543</v>
      </c>
      <c r="AQ43" s="31">
        <v>-3.8199999999999998E-2</v>
      </c>
    </row>
    <row r="44" spans="1:43" x14ac:dyDescent="0.25">
      <c r="A44" s="105">
        <v>44569</v>
      </c>
      <c r="B44" s="93">
        <v>3221.67</v>
      </c>
      <c r="C44" s="93">
        <v>3238.18</v>
      </c>
      <c r="D44" s="93">
        <v>3307.29</v>
      </c>
      <c r="E44" s="93">
        <v>3205.58</v>
      </c>
      <c r="F44" s="31" t="s">
        <v>298</v>
      </c>
      <c r="G44" s="106">
        <v>3.0999999999999999E-3</v>
      </c>
      <c r="H44" s="31"/>
      <c r="I44" s="105">
        <v>44569</v>
      </c>
      <c r="J44" s="31">
        <v>1.3819999999999999</v>
      </c>
      <c r="K44" s="31">
        <v>1.3879999999999999</v>
      </c>
      <c r="L44" s="31">
        <v>1.456</v>
      </c>
      <c r="M44" s="31">
        <v>1.3720000000000001</v>
      </c>
      <c r="N44" s="31" t="s">
        <v>360</v>
      </c>
      <c r="O44" s="106">
        <v>2.5000000000000001E-3</v>
      </c>
      <c r="S44" s="105">
        <v>44569</v>
      </c>
      <c r="T44" s="31">
        <v>5.38</v>
      </c>
      <c r="U44" s="31">
        <v>6.07</v>
      </c>
      <c r="V44" s="31">
        <v>6.78</v>
      </c>
      <c r="W44" s="31">
        <v>5.14</v>
      </c>
      <c r="X44" s="31" t="s">
        <v>423</v>
      </c>
      <c r="Y44" s="31">
        <v>-0.1051</v>
      </c>
      <c r="AB44" s="105">
        <v>44569</v>
      </c>
      <c r="AC44" s="31">
        <v>115.1</v>
      </c>
      <c r="AD44" s="31">
        <v>133.80000000000001</v>
      </c>
      <c r="AE44" s="31">
        <v>139.38</v>
      </c>
      <c r="AF44" s="31">
        <v>105.3</v>
      </c>
      <c r="AG44" s="31" t="s">
        <v>483</v>
      </c>
      <c r="AH44" s="31">
        <v>-0.13780000000000001</v>
      </c>
      <c r="AK44" s="105">
        <v>44569</v>
      </c>
      <c r="AL44" s="31">
        <v>175.4</v>
      </c>
      <c r="AM44" s="31">
        <v>180.5</v>
      </c>
      <c r="AN44" s="31">
        <v>198.3</v>
      </c>
      <c r="AO44" s="31">
        <v>167.3</v>
      </c>
      <c r="AP44" s="31" t="s">
        <v>544</v>
      </c>
      <c r="AQ44" s="31">
        <v>-4.5699999999999998E-2</v>
      </c>
    </row>
    <row r="45" spans="1:43" x14ac:dyDescent="0.25">
      <c r="A45" s="105">
        <v>44568</v>
      </c>
      <c r="B45" s="93">
        <v>3211.56</v>
      </c>
      <c r="C45" s="93">
        <v>3104.25</v>
      </c>
      <c r="D45" s="93">
        <v>3244.29</v>
      </c>
      <c r="E45" s="93">
        <v>3088.25</v>
      </c>
      <c r="F45" s="31" t="s">
        <v>299</v>
      </c>
      <c r="G45" s="106">
        <v>3.5200000000000002E-2</v>
      </c>
      <c r="H45" s="31"/>
      <c r="I45" s="105">
        <v>44568</v>
      </c>
      <c r="J45" s="31">
        <v>1.3779999999999999</v>
      </c>
      <c r="K45" s="31">
        <v>1.359</v>
      </c>
      <c r="L45" s="31">
        <v>1.407</v>
      </c>
      <c r="M45" s="31">
        <v>1.33</v>
      </c>
      <c r="N45" s="31" t="s">
        <v>361</v>
      </c>
      <c r="O45" s="106">
        <v>1.43E-2</v>
      </c>
      <c r="S45" s="105">
        <v>44568</v>
      </c>
      <c r="T45" s="31">
        <v>6.01</v>
      </c>
      <c r="U45" s="31">
        <v>5.78</v>
      </c>
      <c r="V45" s="31">
        <v>6.77</v>
      </c>
      <c r="W45" s="31">
        <v>5.29</v>
      </c>
      <c r="X45" s="31" t="s">
        <v>424</v>
      </c>
      <c r="Y45" s="31">
        <v>6.8400000000000002E-2</v>
      </c>
      <c r="AB45" s="105">
        <v>44568</v>
      </c>
      <c r="AC45" s="31">
        <v>133.5</v>
      </c>
      <c r="AD45" s="31">
        <v>127.5</v>
      </c>
      <c r="AE45" s="31">
        <v>137</v>
      </c>
      <c r="AF45" s="31">
        <v>122.2</v>
      </c>
      <c r="AG45" s="31" t="s">
        <v>484</v>
      </c>
      <c r="AH45" s="31">
        <v>4.7100000000000003E-2</v>
      </c>
      <c r="AK45" s="105">
        <v>44568</v>
      </c>
      <c r="AL45" s="31">
        <v>183.8</v>
      </c>
      <c r="AM45" s="31">
        <v>192.1</v>
      </c>
      <c r="AN45" s="31">
        <v>200.2</v>
      </c>
      <c r="AO45" s="31">
        <v>167.1</v>
      </c>
      <c r="AP45" s="31" t="s">
        <v>545</v>
      </c>
      <c r="AQ45" s="31">
        <v>-5.45E-2</v>
      </c>
    </row>
    <row r="46" spans="1:43" x14ac:dyDescent="0.25">
      <c r="A46" s="105">
        <v>44567</v>
      </c>
      <c r="B46" s="93">
        <v>3102.21</v>
      </c>
      <c r="C46" s="93">
        <v>3242.92</v>
      </c>
      <c r="D46" s="93">
        <v>3253.15</v>
      </c>
      <c r="E46" s="93">
        <v>3072.34</v>
      </c>
      <c r="F46" s="31" t="s">
        <v>300</v>
      </c>
      <c r="G46" s="106">
        <v>-4.0300000000000002E-2</v>
      </c>
      <c r="H46" s="31"/>
      <c r="I46" s="105">
        <v>44567</v>
      </c>
      <c r="J46" s="31">
        <v>1.359</v>
      </c>
      <c r="K46" s="31">
        <v>1.407</v>
      </c>
      <c r="L46" s="31">
        <v>1.427</v>
      </c>
      <c r="M46" s="31">
        <v>1.31</v>
      </c>
      <c r="N46" s="31" t="s">
        <v>362</v>
      </c>
      <c r="O46" s="106">
        <v>-2.7799999999999998E-2</v>
      </c>
      <c r="S46" s="105">
        <v>44567</v>
      </c>
      <c r="T46" s="31">
        <v>5.62</v>
      </c>
      <c r="U46" s="31">
        <v>7.49</v>
      </c>
      <c r="V46" s="31">
        <v>7.85</v>
      </c>
      <c r="W46" s="31">
        <v>5.62</v>
      </c>
      <c r="X46" s="31" t="s">
        <v>425</v>
      </c>
      <c r="Y46" s="31">
        <v>-0.24299999999999999</v>
      </c>
      <c r="AB46" s="105">
        <v>44567</v>
      </c>
      <c r="AC46" s="31">
        <v>127.5</v>
      </c>
      <c r="AD46" s="31">
        <v>138.26</v>
      </c>
      <c r="AE46" s="31">
        <v>143.6</v>
      </c>
      <c r="AF46" s="31">
        <v>121.4</v>
      </c>
      <c r="AG46" s="31" t="s">
        <v>485</v>
      </c>
      <c r="AH46" s="31">
        <v>-6.59E-2</v>
      </c>
      <c r="AK46" s="105">
        <v>44567</v>
      </c>
      <c r="AL46" s="31">
        <v>194.4</v>
      </c>
      <c r="AM46" s="31">
        <v>268.39999999999998</v>
      </c>
      <c r="AN46" s="31">
        <v>273.39999999999998</v>
      </c>
      <c r="AO46" s="31">
        <v>189.9</v>
      </c>
      <c r="AP46" s="31" t="s">
        <v>546</v>
      </c>
      <c r="AQ46" s="31">
        <v>-0.2681</v>
      </c>
    </row>
    <row r="47" spans="1:43" x14ac:dyDescent="0.25">
      <c r="A47" s="105">
        <v>44566</v>
      </c>
      <c r="B47" s="93">
        <v>3232.49</v>
      </c>
      <c r="C47" s="93">
        <v>3365.43</v>
      </c>
      <c r="D47" s="93">
        <v>3373.15</v>
      </c>
      <c r="E47" s="93">
        <v>3165.18</v>
      </c>
      <c r="F47" s="31" t="s">
        <v>301</v>
      </c>
      <c r="G47" s="106">
        <v>-3.7100000000000001E-2</v>
      </c>
      <c r="H47" s="31"/>
      <c r="I47" s="105">
        <v>44566</v>
      </c>
      <c r="J47" s="31">
        <v>1.3979999999999999</v>
      </c>
      <c r="K47" s="31">
        <v>1.4370000000000001</v>
      </c>
      <c r="L47" s="31">
        <v>1.4750000000000001</v>
      </c>
      <c r="M47" s="31">
        <v>1.34</v>
      </c>
      <c r="N47" s="31" t="s">
        <v>363</v>
      </c>
      <c r="O47" s="106">
        <v>-2.0400000000000001E-2</v>
      </c>
      <c r="S47" s="105">
        <v>44566</v>
      </c>
      <c r="T47" s="31">
        <v>7.43</v>
      </c>
      <c r="U47" s="31">
        <v>7.67</v>
      </c>
      <c r="V47" s="31">
        <v>7.96</v>
      </c>
      <c r="W47" s="31">
        <v>7.26</v>
      </c>
      <c r="X47" s="31" t="s">
        <v>426</v>
      </c>
      <c r="Y47" s="31">
        <v>-5.04E-2</v>
      </c>
      <c r="AB47" s="105">
        <v>44566</v>
      </c>
      <c r="AC47" s="31">
        <v>136.5</v>
      </c>
      <c r="AD47" s="31">
        <v>110.9</v>
      </c>
      <c r="AE47" s="31">
        <v>145.66</v>
      </c>
      <c r="AF47" s="31">
        <v>101.95</v>
      </c>
      <c r="AG47" s="31" t="s">
        <v>486</v>
      </c>
      <c r="AH47" s="31">
        <v>0.21010000000000001</v>
      </c>
      <c r="AK47" s="105">
        <v>44566</v>
      </c>
      <c r="AL47" s="31">
        <v>265.60000000000002</v>
      </c>
      <c r="AM47" s="31">
        <v>248</v>
      </c>
      <c r="AN47" s="31">
        <v>274.39999999999998</v>
      </c>
      <c r="AO47" s="31">
        <v>237.12</v>
      </c>
      <c r="AP47" s="31" t="s">
        <v>547</v>
      </c>
      <c r="AQ47" s="31">
        <v>6.7500000000000004E-2</v>
      </c>
    </row>
    <row r="48" spans="1:43" x14ac:dyDescent="0.25">
      <c r="A48" s="105">
        <v>44565</v>
      </c>
      <c r="B48" s="93">
        <v>3356.9</v>
      </c>
      <c r="C48" s="93">
        <v>3403.93</v>
      </c>
      <c r="D48" s="93">
        <v>3445.9</v>
      </c>
      <c r="E48" s="93">
        <v>3303.07</v>
      </c>
      <c r="F48" s="31" t="s">
        <v>302</v>
      </c>
      <c r="G48" s="106">
        <v>-1.5100000000000001E-2</v>
      </c>
      <c r="H48" s="31"/>
      <c r="I48" s="105">
        <v>44565</v>
      </c>
      <c r="J48" s="31">
        <v>1.427</v>
      </c>
      <c r="K48" s="31">
        <v>1.446</v>
      </c>
      <c r="L48" s="31">
        <v>1.4850000000000001</v>
      </c>
      <c r="M48" s="31">
        <v>1.407</v>
      </c>
      <c r="N48" s="31" t="s">
        <v>364</v>
      </c>
      <c r="O48" s="106">
        <v>-1.34E-2</v>
      </c>
      <c r="S48" s="105">
        <v>44565</v>
      </c>
      <c r="T48" s="31">
        <v>7.82</v>
      </c>
      <c r="U48" s="31">
        <v>6.96</v>
      </c>
      <c r="V48" s="31">
        <v>7.82</v>
      </c>
      <c r="W48" s="31">
        <v>6.81</v>
      </c>
      <c r="X48" s="31" t="s">
        <v>427</v>
      </c>
      <c r="Y48" s="31">
        <v>0.12479999999999999</v>
      </c>
      <c r="AB48" s="105">
        <v>44565</v>
      </c>
      <c r="AC48" s="31">
        <v>112.8</v>
      </c>
      <c r="AD48" s="31">
        <v>111.8</v>
      </c>
      <c r="AE48" s="31">
        <v>117.3</v>
      </c>
      <c r="AF48" s="31">
        <v>100.8</v>
      </c>
      <c r="AG48" s="31" t="s">
        <v>487</v>
      </c>
      <c r="AH48" s="31">
        <v>4.4999999999999997E-3</v>
      </c>
      <c r="AK48" s="105">
        <v>44565</v>
      </c>
      <c r="AL48" s="31">
        <v>248.8</v>
      </c>
      <c r="AM48" s="31">
        <v>235.4</v>
      </c>
      <c r="AN48" s="31">
        <v>252.8</v>
      </c>
      <c r="AO48" s="31">
        <v>223</v>
      </c>
      <c r="AP48" s="31" t="s">
        <v>548</v>
      </c>
      <c r="AQ48" s="31">
        <v>6.7799999999999999E-2</v>
      </c>
    </row>
    <row r="49" spans="1:43" x14ac:dyDescent="0.25">
      <c r="A49" s="105">
        <v>44564</v>
      </c>
      <c r="B49" s="93">
        <v>3408.52</v>
      </c>
      <c r="C49" s="93">
        <v>3262.49</v>
      </c>
      <c r="D49" s="93">
        <v>3456.09</v>
      </c>
      <c r="E49" s="93">
        <v>3128.06</v>
      </c>
      <c r="F49" s="31" t="s">
        <v>303</v>
      </c>
      <c r="G49" s="106">
        <v>5.1299999999999998E-2</v>
      </c>
      <c r="H49" s="31"/>
      <c r="I49" s="105">
        <v>44564</v>
      </c>
      <c r="J49" s="31">
        <v>1.446</v>
      </c>
      <c r="K49" s="31">
        <v>1.3879999999999999</v>
      </c>
      <c r="L49" s="31">
        <v>1.4750000000000001</v>
      </c>
      <c r="M49" s="31">
        <v>1.2909999999999999</v>
      </c>
      <c r="N49" s="31" t="s">
        <v>365</v>
      </c>
      <c r="O49" s="106">
        <v>5.67E-2</v>
      </c>
      <c r="S49" s="105">
        <v>44564</v>
      </c>
      <c r="T49" s="31">
        <v>6.96</v>
      </c>
      <c r="U49" s="31">
        <v>7.34</v>
      </c>
      <c r="V49" s="31">
        <v>7.38</v>
      </c>
      <c r="W49" s="31">
        <v>6.67</v>
      </c>
      <c r="X49" s="31" t="s">
        <v>428</v>
      </c>
      <c r="Y49" s="31">
        <v>-2.4899999999999999E-2</v>
      </c>
      <c r="AB49" s="105">
        <v>44564</v>
      </c>
      <c r="AC49" s="31">
        <v>112.3</v>
      </c>
      <c r="AD49" s="31">
        <v>101.2</v>
      </c>
      <c r="AE49" s="31">
        <v>115.4</v>
      </c>
      <c r="AF49" s="31">
        <v>83.75</v>
      </c>
      <c r="AG49" s="31" t="s">
        <v>488</v>
      </c>
      <c r="AH49" s="31">
        <v>0.1208</v>
      </c>
      <c r="AK49" s="105">
        <v>44564</v>
      </c>
      <c r="AL49" s="31">
        <v>233</v>
      </c>
      <c r="AM49" s="31">
        <v>244.2</v>
      </c>
      <c r="AN49" s="31">
        <v>260.2</v>
      </c>
      <c r="AO49" s="31">
        <v>183.7</v>
      </c>
      <c r="AP49" s="31" t="s">
        <v>549</v>
      </c>
      <c r="AQ49" s="31">
        <v>-2.4299999999999999E-2</v>
      </c>
    </row>
    <row r="50" spans="1:43" x14ac:dyDescent="0.25">
      <c r="A50" s="105">
        <v>44563</v>
      </c>
      <c r="B50" s="93">
        <v>3242.24</v>
      </c>
      <c r="C50" s="93">
        <v>3302.23</v>
      </c>
      <c r="D50" s="93">
        <v>3466.23</v>
      </c>
      <c r="E50" s="93">
        <v>3214.93</v>
      </c>
      <c r="F50" s="31" t="s">
        <v>304</v>
      </c>
      <c r="G50" s="106">
        <v>-2.3E-3</v>
      </c>
      <c r="H50" s="31"/>
      <c r="I50" s="105">
        <v>44563</v>
      </c>
      <c r="J50" s="31">
        <v>1.369</v>
      </c>
      <c r="K50" s="31">
        <v>1.33</v>
      </c>
      <c r="L50" s="31">
        <v>1.4750000000000001</v>
      </c>
      <c r="M50" s="31">
        <v>1.32</v>
      </c>
      <c r="N50" s="31" t="s">
        <v>366</v>
      </c>
      <c r="O50" s="106">
        <v>3.6799999999999999E-2</v>
      </c>
      <c r="S50" s="105">
        <v>44563</v>
      </c>
      <c r="T50" s="31">
        <v>7.13</v>
      </c>
      <c r="U50" s="31">
        <v>6.95</v>
      </c>
      <c r="V50" s="31">
        <v>7.44</v>
      </c>
      <c r="W50" s="31">
        <v>6.61</v>
      </c>
      <c r="X50" s="31" t="s">
        <v>429</v>
      </c>
      <c r="Y50" s="31">
        <v>2.8400000000000002E-2</v>
      </c>
      <c r="AB50" s="105">
        <v>44563</v>
      </c>
      <c r="AC50" s="31">
        <v>100.2</v>
      </c>
      <c r="AD50" s="31">
        <v>100</v>
      </c>
      <c r="AE50" s="31">
        <v>108.1</v>
      </c>
      <c r="AF50" s="31">
        <v>97.6</v>
      </c>
      <c r="AG50" s="31" t="s">
        <v>456</v>
      </c>
      <c r="AH50" s="31">
        <v>-8.8999999999999999E-3</v>
      </c>
      <c r="AK50" s="105">
        <v>44563</v>
      </c>
      <c r="AL50" s="31">
        <v>238.8</v>
      </c>
      <c r="AM50" s="31">
        <v>248</v>
      </c>
      <c r="AN50" s="31">
        <v>288</v>
      </c>
      <c r="AO50" s="31">
        <v>230.8</v>
      </c>
      <c r="AP50" s="31" t="s">
        <v>550</v>
      </c>
      <c r="AQ50" s="31">
        <v>-4.48E-2</v>
      </c>
    </row>
    <row r="51" spans="1:43" x14ac:dyDescent="0.25">
      <c r="A51" s="105">
        <v>44562</v>
      </c>
      <c r="B51" s="93">
        <v>3249.59</v>
      </c>
      <c r="C51" s="93">
        <v>3130.48</v>
      </c>
      <c r="D51" s="93">
        <v>3299.64</v>
      </c>
      <c r="E51" s="93">
        <v>3127.6</v>
      </c>
      <c r="F51" s="31" t="s">
        <v>305</v>
      </c>
      <c r="G51" s="106">
        <v>4.0300000000000002E-2</v>
      </c>
      <c r="H51" s="31"/>
      <c r="I51" s="105">
        <v>44562</v>
      </c>
      <c r="J51" s="31">
        <v>1.32</v>
      </c>
      <c r="K51" s="31">
        <v>1.369</v>
      </c>
      <c r="L51" s="31">
        <v>1.3779999999999999</v>
      </c>
      <c r="M51" s="31">
        <v>1.2909999999999999</v>
      </c>
      <c r="N51" s="31" t="s">
        <v>367</v>
      </c>
      <c r="O51" s="106">
        <v>-2.86E-2</v>
      </c>
      <c r="S51" s="105">
        <v>44562</v>
      </c>
      <c r="T51" s="31">
        <v>6.94</v>
      </c>
      <c r="U51" s="31">
        <v>7.3</v>
      </c>
      <c r="V51" s="31">
        <v>7.4</v>
      </c>
      <c r="W51" s="31">
        <v>6.34</v>
      </c>
      <c r="X51" s="31" t="s">
        <v>430</v>
      </c>
      <c r="Y51" s="31">
        <v>-4.7399999999999998E-2</v>
      </c>
      <c r="AB51" s="105">
        <v>44562</v>
      </c>
      <c r="AC51" s="31">
        <v>101.1</v>
      </c>
      <c r="AD51" s="31">
        <v>106.8</v>
      </c>
      <c r="AE51" s="31">
        <v>107.8</v>
      </c>
      <c r="AF51" s="31">
        <v>97</v>
      </c>
      <c r="AG51" s="31" t="s">
        <v>489</v>
      </c>
      <c r="AH51" s="31">
        <v>-1.0800000000000001E-2</v>
      </c>
      <c r="AK51" s="105">
        <v>44562</v>
      </c>
      <c r="AL51" s="31">
        <v>250</v>
      </c>
      <c r="AM51" s="31">
        <v>259.39999999999998</v>
      </c>
      <c r="AN51" s="31">
        <v>270.60000000000002</v>
      </c>
      <c r="AO51" s="31">
        <v>239.8</v>
      </c>
      <c r="AP51" s="31" t="s">
        <v>551</v>
      </c>
      <c r="AQ51" s="31">
        <v>-2.8000000000000001E-2</v>
      </c>
    </row>
    <row r="52" spans="1:43" x14ac:dyDescent="0.25">
      <c r="A52" s="105">
        <v>44208</v>
      </c>
      <c r="B52" s="93">
        <v>3123.68</v>
      </c>
      <c r="C52" s="93">
        <v>3052.4</v>
      </c>
      <c r="D52" s="93">
        <v>3161.95</v>
      </c>
      <c r="E52" s="93">
        <v>3045.13</v>
      </c>
      <c r="F52" s="31" t="s">
        <v>306</v>
      </c>
      <c r="G52" s="106">
        <v>2.7099999999999999E-2</v>
      </c>
      <c r="H52" s="31"/>
      <c r="I52" s="105">
        <v>44208</v>
      </c>
      <c r="J52" s="31">
        <v>1.359</v>
      </c>
      <c r="K52" s="31">
        <v>1.33</v>
      </c>
      <c r="L52" s="31">
        <v>1.3879999999999999</v>
      </c>
      <c r="M52" s="31">
        <v>1.31</v>
      </c>
      <c r="N52" s="31" t="s">
        <v>368</v>
      </c>
      <c r="O52" s="106">
        <v>2.1899999999999999E-2</v>
      </c>
      <c r="S52" s="105">
        <v>44208</v>
      </c>
      <c r="T52" s="31">
        <v>7.28</v>
      </c>
      <c r="U52" s="31">
        <v>6.32</v>
      </c>
      <c r="V52" s="31">
        <v>7.28</v>
      </c>
      <c r="W52" s="31">
        <v>6.1</v>
      </c>
      <c r="X52" s="31" t="s">
        <v>431</v>
      </c>
      <c r="Y52" s="31">
        <v>0.14599999999999999</v>
      </c>
      <c r="AB52" s="105">
        <v>44208</v>
      </c>
      <c r="AC52" s="31">
        <v>102.2</v>
      </c>
      <c r="AD52" s="31">
        <v>93.65</v>
      </c>
      <c r="AE52" s="31">
        <v>110.7</v>
      </c>
      <c r="AF52" s="31">
        <v>90.5</v>
      </c>
      <c r="AG52" s="31" t="s">
        <v>490</v>
      </c>
      <c r="AH52" s="31">
        <v>9.8900000000000002E-2</v>
      </c>
      <c r="AK52" s="105">
        <v>44208</v>
      </c>
      <c r="AL52" s="31">
        <v>257.2</v>
      </c>
      <c r="AM52" s="31">
        <v>215</v>
      </c>
      <c r="AN52" s="31">
        <v>262.79000000000002</v>
      </c>
      <c r="AO52" s="31">
        <v>214</v>
      </c>
      <c r="AP52" s="31" t="s">
        <v>552</v>
      </c>
      <c r="AQ52" s="31">
        <v>0.2041</v>
      </c>
    </row>
    <row r="53" spans="1:43" x14ac:dyDescent="0.25">
      <c r="A53" s="105">
        <v>44207</v>
      </c>
      <c r="B53" s="93">
        <v>3041.29</v>
      </c>
      <c r="C53" s="93">
        <v>3226.23</v>
      </c>
      <c r="D53" s="93">
        <v>3273.54</v>
      </c>
      <c r="E53" s="93">
        <v>3041.29</v>
      </c>
      <c r="F53" s="31" t="s">
        <v>307</v>
      </c>
      <c r="G53" s="106">
        <v>-4.9099999999999998E-2</v>
      </c>
      <c r="H53" s="31"/>
      <c r="I53" s="105">
        <v>44207</v>
      </c>
      <c r="J53" s="31">
        <v>1.33</v>
      </c>
      <c r="K53" s="31">
        <v>1.524</v>
      </c>
      <c r="L53" s="31">
        <v>1.6020000000000001</v>
      </c>
      <c r="M53" s="31">
        <v>1.33</v>
      </c>
      <c r="N53" s="31" t="s">
        <v>369</v>
      </c>
      <c r="O53" s="106">
        <v>-0.12180000000000001</v>
      </c>
      <c r="S53" s="105">
        <v>44207</v>
      </c>
      <c r="T53" s="31">
        <v>6.35</v>
      </c>
      <c r="U53" s="31">
        <v>7.5</v>
      </c>
      <c r="V53" s="31">
        <v>7.52</v>
      </c>
      <c r="W53" s="31">
        <v>6.11</v>
      </c>
      <c r="X53" s="31" t="s">
        <v>432</v>
      </c>
      <c r="Y53" s="31">
        <v>-0.1226</v>
      </c>
      <c r="AB53" s="105">
        <v>44207</v>
      </c>
      <c r="AC53" s="31">
        <v>93</v>
      </c>
      <c r="AD53" s="31">
        <v>102.9</v>
      </c>
      <c r="AE53" s="31">
        <v>107.1</v>
      </c>
      <c r="AF53" s="31">
        <v>92.7</v>
      </c>
      <c r="AG53" s="31" t="s">
        <v>491</v>
      </c>
      <c r="AH53" s="31">
        <v>-7.7399999999999997E-2</v>
      </c>
      <c r="AK53" s="105">
        <v>44207</v>
      </c>
      <c r="AL53" s="31">
        <v>213.6</v>
      </c>
      <c r="AM53" s="31">
        <v>234.6</v>
      </c>
      <c r="AN53" s="31">
        <v>245.32</v>
      </c>
      <c r="AO53" s="31">
        <v>207.2</v>
      </c>
      <c r="AP53" s="31" t="s">
        <v>553</v>
      </c>
      <c r="AQ53" s="31">
        <v>-6.5600000000000006E-2</v>
      </c>
    </row>
    <row r="54" spans="1:43" x14ac:dyDescent="0.25">
      <c r="A54" s="105">
        <v>44206</v>
      </c>
      <c r="B54" s="93">
        <v>3198.17</v>
      </c>
      <c r="C54" s="93">
        <v>3072.54</v>
      </c>
      <c r="D54" s="93">
        <v>3228.05</v>
      </c>
      <c r="E54" s="93">
        <v>3044.73</v>
      </c>
      <c r="F54" s="31" t="s">
        <v>308</v>
      </c>
      <c r="G54" s="106">
        <v>3.61E-2</v>
      </c>
      <c r="H54" s="31"/>
      <c r="I54" s="105">
        <v>44206</v>
      </c>
      <c r="J54" s="31">
        <v>1.514</v>
      </c>
      <c r="K54" s="31">
        <v>1.466</v>
      </c>
      <c r="L54" s="31">
        <v>1.5529999999999999</v>
      </c>
      <c r="M54" s="31">
        <v>1.456</v>
      </c>
      <c r="N54" s="31" t="s">
        <v>370</v>
      </c>
      <c r="O54" s="106">
        <v>3.3099999999999997E-2</v>
      </c>
      <c r="S54" s="105">
        <v>44206</v>
      </c>
      <c r="T54" s="31">
        <v>7.24</v>
      </c>
      <c r="U54" s="31">
        <v>8.66</v>
      </c>
      <c r="V54" s="31">
        <v>8.69</v>
      </c>
      <c r="W54" s="31">
        <v>7.11</v>
      </c>
      <c r="X54" s="31" t="s">
        <v>433</v>
      </c>
      <c r="Y54" s="31">
        <v>-0.17530000000000001</v>
      </c>
      <c r="AB54" s="31">
        <v>44206</v>
      </c>
      <c r="AC54" s="31">
        <v>100.8</v>
      </c>
      <c r="AD54" s="31">
        <v>87.9</v>
      </c>
      <c r="AE54" s="31">
        <v>102.7</v>
      </c>
      <c r="AF54" s="31">
        <v>84</v>
      </c>
      <c r="AG54" s="31" t="s">
        <v>492</v>
      </c>
      <c r="AH54" s="31">
        <v>0.13320000000000001</v>
      </c>
      <c r="AK54" s="31">
        <v>44206</v>
      </c>
      <c r="AL54" s="31">
        <v>228.6</v>
      </c>
      <c r="AM54" s="31">
        <v>236.4</v>
      </c>
      <c r="AN54" s="31">
        <v>248</v>
      </c>
      <c r="AO54" s="31">
        <v>215.87</v>
      </c>
      <c r="AP54" s="31" t="s">
        <v>554</v>
      </c>
      <c r="AQ54" s="31">
        <v>-5.2200000000000003E-2</v>
      </c>
    </row>
    <row r="55" spans="1:43" x14ac:dyDescent="0.25">
      <c r="A55" s="105">
        <v>44205</v>
      </c>
      <c r="B55" s="93">
        <v>3086.7</v>
      </c>
      <c r="C55" s="93">
        <v>3055.71</v>
      </c>
      <c r="D55" s="93">
        <v>3108.53</v>
      </c>
      <c r="E55" s="93">
        <v>3037.79</v>
      </c>
      <c r="F55" s="31" t="s">
        <v>309</v>
      </c>
      <c r="G55" s="106">
        <v>1.04E-2</v>
      </c>
      <c r="H55" s="31"/>
      <c r="I55" s="105">
        <v>44205</v>
      </c>
      <c r="J55" s="31">
        <v>1.466</v>
      </c>
      <c r="K55" s="31">
        <v>1.5720000000000001</v>
      </c>
      <c r="L55" s="31">
        <v>1.5920000000000001</v>
      </c>
      <c r="M55" s="31">
        <v>1.446</v>
      </c>
      <c r="N55" s="31" t="s">
        <v>371</v>
      </c>
      <c r="O55" s="106">
        <v>-6.7900000000000002E-2</v>
      </c>
      <c r="S55" s="105">
        <v>44205</v>
      </c>
      <c r="T55" s="31">
        <v>8.7799999999999994</v>
      </c>
      <c r="U55" s="31">
        <v>8.8800000000000008</v>
      </c>
      <c r="V55" s="31">
        <v>9.2200000000000006</v>
      </c>
      <c r="W55" s="31">
        <v>8.16</v>
      </c>
      <c r="X55" s="31" t="s">
        <v>434</v>
      </c>
      <c r="Y55" s="31">
        <v>-1.11E-2</v>
      </c>
      <c r="AB55" s="105">
        <v>44205</v>
      </c>
      <c r="AC55" s="31">
        <v>88.95</v>
      </c>
      <c r="AD55" s="31">
        <v>88.8</v>
      </c>
      <c r="AE55" s="31">
        <v>95</v>
      </c>
      <c r="AF55" s="31">
        <v>82.15</v>
      </c>
      <c r="AG55" s="31" t="s">
        <v>493</v>
      </c>
      <c r="AH55" s="31">
        <v>-1.44E-2</v>
      </c>
      <c r="AK55" s="105">
        <v>44205</v>
      </c>
      <c r="AL55" s="31">
        <v>241.2</v>
      </c>
      <c r="AM55" s="31">
        <v>262.60000000000002</v>
      </c>
      <c r="AN55" s="31">
        <v>262.60000000000002</v>
      </c>
      <c r="AO55" s="31">
        <v>212.2</v>
      </c>
      <c r="AP55" s="31" t="s">
        <v>555</v>
      </c>
      <c r="AQ55" s="31">
        <v>-6.0699999999999997E-2</v>
      </c>
    </row>
    <row r="56" spans="1:43" x14ac:dyDescent="0.25">
      <c r="A56" s="105">
        <v>44204</v>
      </c>
      <c r="B56" s="93">
        <v>3055.05</v>
      </c>
      <c r="C56" s="93">
        <v>3176.42</v>
      </c>
      <c r="D56" s="93">
        <v>3207.99</v>
      </c>
      <c r="E56" s="93">
        <v>3050.24</v>
      </c>
      <c r="F56" s="31" t="s">
        <v>310</v>
      </c>
      <c r="G56" s="106">
        <v>-3.5299999999999998E-2</v>
      </c>
      <c r="H56" s="31"/>
      <c r="I56" s="105">
        <v>44204</v>
      </c>
      <c r="J56" s="31">
        <v>1.5720000000000001</v>
      </c>
      <c r="K56" s="31">
        <v>1.524</v>
      </c>
      <c r="L56" s="31">
        <v>1.64</v>
      </c>
      <c r="M56" s="31">
        <v>1.5049999999999999</v>
      </c>
      <c r="N56" s="31" t="s">
        <v>372</v>
      </c>
      <c r="O56" s="106">
        <v>3.1800000000000002E-2</v>
      </c>
      <c r="S56" s="105">
        <v>44204</v>
      </c>
      <c r="T56" s="31">
        <v>8.8800000000000008</v>
      </c>
      <c r="U56" s="31">
        <v>9.4700000000000006</v>
      </c>
      <c r="V56" s="31">
        <v>10.19</v>
      </c>
      <c r="W56" s="31">
        <v>8.74</v>
      </c>
      <c r="X56" s="31" t="s">
        <v>435</v>
      </c>
      <c r="Y56" s="31">
        <v>-3.4299999999999997E-2</v>
      </c>
      <c r="AB56" s="105">
        <v>44204</v>
      </c>
      <c r="AC56" s="31">
        <v>90.25</v>
      </c>
      <c r="AD56" s="31">
        <v>82.2</v>
      </c>
      <c r="AE56" s="31">
        <v>93</v>
      </c>
      <c r="AF56" s="31">
        <v>82.2</v>
      </c>
      <c r="AG56" s="31" t="s">
        <v>494</v>
      </c>
      <c r="AH56" s="31">
        <v>8.8700000000000001E-2</v>
      </c>
      <c r="AK56" s="105">
        <v>44204</v>
      </c>
      <c r="AL56" s="31">
        <v>256.8</v>
      </c>
      <c r="AM56" s="31">
        <v>272</v>
      </c>
      <c r="AN56" s="31">
        <v>279.2</v>
      </c>
      <c r="AO56" s="31">
        <v>251.8</v>
      </c>
      <c r="AP56" s="31" t="s">
        <v>392</v>
      </c>
      <c r="AQ56" s="31">
        <v>-5.5899999999999998E-2</v>
      </c>
    </row>
    <row r="57" spans="1:43" x14ac:dyDescent="0.25">
      <c r="A57" s="105">
        <v>44203</v>
      </c>
      <c r="B57" s="93">
        <v>3166.94</v>
      </c>
      <c r="C57" s="93">
        <v>3140.25</v>
      </c>
      <c r="D57" s="93">
        <v>3195.25</v>
      </c>
      <c r="E57" s="93">
        <v>3095.35</v>
      </c>
      <c r="F57" s="31" t="s">
        <v>311</v>
      </c>
      <c r="G57" s="106">
        <v>1.17E-2</v>
      </c>
      <c r="H57" s="31"/>
      <c r="I57" s="105">
        <v>44203</v>
      </c>
      <c r="J57" s="31">
        <v>1.524</v>
      </c>
      <c r="K57" s="31">
        <v>1.5920000000000001</v>
      </c>
      <c r="L57" s="31">
        <v>1.621</v>
      </c>
      <c r="M57" s="31">
        <v>1.5049999999999999</v>
      </c>
      <c r="N57" s="31" t="s">
        <v>373</v>
      </c>
      <c r="O57" s="106">
        <v>-4.2700000000000002E-2</v>
      </c>
      <c r="S57" s="105">
        <v>44203</v>
      </c>
      <c r="T57" s="31">
        <v>9.1999999999999993</v>
      </c>
      <c r="U57" s="31">
        <v>9.23</v>
      </c>
      <c r="V57" s="31">
        <v>9.66</v>
      </c>
      <c r="W57" s="31">
        <v>8.7899999999999991</v>
      </c>
      <c r="X57" s="31" t="s">
        <v>436</v>
      </c>
      <c r="Y57" s="31">
        <v>-1.6899999999999998E-2</v>
      </c>
      <c r="AB57" s="105">
        <v>44203</v>
      </c>
      <c r="AC57" s="31">
        <v>82.9</v>
      </c>
      <c r="AD57" s="31">
        <v>82.7</v>
      </c>
      <c r="AE57" s="31">
        <v>90.15</v>
      </c>
      <c r="AF57" s="31">
        <v>72.400000000000006</v>
      </c>
      <c r="AG57" s="31" t="s">
        <v>495</v>
      </c>
      <c r="AH57" s="31">
        <v>1.2200000000000001E-2</v>
      </c>
      <c r="AK57" s="105">
        <v>44203</v>
      </c>
      <c r="AL57" s="31">
        <v>272</v>
      </c>
      <c r="AM57" s="31">
        <v>273</v>
      </c>
      <c r="AN57" s="31">
        <v>285.60000000000002</v>
      </c>
      <c r="AO57" s="31">
        <v>226.8</v>
      </c>
      <c r="AP57" s="31" t="s">
        <v>556</v>
      </c>
      <c r="AQ57" s="31">
        <v>2.0299999999999999E-2</v>
      </c>
    </row>
    <row r="58" spans="1:43" x14ac:dyDescent="0.25">
      <c r="A58" s="105">
        <v>44202</v>
      </c>
      <c r="B58" s="93">
        <v>3130.46</v>
      </c>
      <c r="C58" s="93">
        <v>3176.71</v>
      </c>
      <c r="D58" s="93">
        <v>3188</v>
      </c>
      <c r="E58" s="93">
        <v>3089.49</v>
      </c>
      <c r="F58" s="31" t="s">
        <v>312</v>
      </c>
      <c r="G58" s="106">
        <v>-1.0699999999999999E-2</v>
      </c>
      <c r="H58" s="31"/>
      <c r="I58" s="105">
        <v>44202</v>
      </c>
      <c r="J58" s="31">
        <v>1.5920000000000001</v>
      </c>
      <c r="K58" s="31">
        <v>1.65</v>
      </c>
      <c r="L58" s="31">
        <v>1.67</v>
      </c>
      <c r="M58" s="31">
        <v>1.5629999999999999</v>
      </c>
      <c r="N58" s="31" t="s">
        <v>374</v>
      </c>
      <c r="O58" s="106">
        <v>-3.5299999999999998E-2</v>
      </c>
      <c r="S58" s="105">
        <v>44202</v>
      </c>
      <c r="T58" s="31">
        <v>9.35</v>
      </c>
      <c r="U58" s="31">
        <v>9.8699999999999992</v>
      </c>
      <c r="V58" s="31">
        <v>10.19</v>
      </c>
      <c r="W58" s="31">
        <v>8.42</v>
      </c>
      <c r="X58" s="31" t="s">
        <v>437</v>
      </c>
      <c r="Y58" s="31">
        <v>-2.7699999999999999E-2</v>
      </c>
      <c r="AB58" s="105">
        <v>44202</v>
      </c>
      <c r="AC58" s="31">
        <v>81.900000000000006</v>
      </c>
      <c r="AD58" s="31">
        <v>85</v>
      </c>
      <c r="AE58" s="31">
        <v>85</v>
      </c>
      <c r="AF58" s="31">
        <v>77.95</v>
      </c>
      <c r="AG58" s="31" t="s">
        <v>496</v>
      </c>
      <c r="AH58" s="31">
        <v>4.8999999999999998E-3</v>
      </c>
      <c r="AK58" s="105">
        <v>44202</v>
      </c>
      <c r="AL58" s="31">
        <v>266.60000000000002</v>
      </c>
      <c r="AM58" s="31">
        <v>299</v>
      </c>
      <c r="AN58" s="31">
        <v>305</v>
      </c>
      <c r="AO58" s="31">
        <v>258.2</v>
      </c>
      <c r="AP58" s="31" t="s">
        <v>557</v>
      </c>
      <c r="AQ58" s="31">
        <v>-0.11840000000000001</v>
      </c>
    </row>
    <row r="59" spans="1:43" x14ac:dyDescent="0.25">
      <c r="A59" s="105">
        <v>44201</v>
      </c>
      <c r="B59" s="93">
        <v>3164.28</v>
      </c>
      <c r="C59" s="93">
        <v>3221.79</v>
      </c>
      <c r="D59" s="93">
        <v>3221.94</v>
      </c>
      <c r="E59" s="93">
        <v>3023.95</v>
      </c>
      <c r="F59" s="31" t="s">
        <v>313</v>
      </c>
      <c r="G59" s="106">
        <v>-1.6799999999999999E-2</v>
      </c>
      <c r="H59" s="31"/>
      <c r="I59" s="105">
        <v>44201</v>
      </c>
      <c r="J59" s="31">
        <v>1.65</v>
      </c>
      <c r="K59" s="31">
        <v>1.65</v>
      </c>
      <c r="L59" s="31">
        <v>1.67</v>
      </c>
      <c r="M59" s="31">
        <v>1.4950000000000001</v>
      </c>
      <c r="N59" s="31" t="s">
        <v>375</v>
      </c>
      <c r="O59" s="106">
        <v>-1.1599999999999999E-2</v>
      </c>
      <c r="S59" s="105">
        <v>44201</v>
      </c>
      <c r="T59" s="31">
        <v>9.6199999999999992</v>
      </c>
      <c r="U59" s="31">
        <v>9.9600000000000009</v>
      </c>
      <c r="V59" s="31">
        <v>10.5</v>
      </c>
      <c r="W59" s="31">
        <v>9.44</v>
      </c>
      <c r="X59" s="31" t="s">
        <v>438</v>
      </c>
      <c r="Y59" s="31">
        <v>-3.3700000000000001E-2</v>
      </c>
      <c r="AB59" s="105">
        <v>44201</v>
      </c>
      <c r="AC59" s="31">
        <v>81.5</v>
      </c>
      <c r="AD59" s="31">
        <v>74.349999999999994</v>
      </c>
      <c r="AE59" s="31">
        <v>88.05</v>
      </c>
      <c r="AF59" s="31">
        <v>72.099999999999994</v>
      </c>
      <c r="AG59" s="31" t="s">
        <v>497</v>
      </c>
      <c r="AH59" s="31">
        <v>9.69E-2</v>
      </c>
      <c r="AK59" s="105">
        <v>44201</v>
      </c>
      <c r="AL59" s="31">
        <v>302.39999999999998</v>
      </c>
      <c r="AM59" s="31">
        <v>301</v>
      </c>
      <c r="AN59" s="31">
        <v>316.60000000000002</v>
      </c>
      <c r="AO59" s="31">
        <v>276.39999999999998</v>
      </c>
      <c r="AP59" s="31" t="s">
        <v>558</v>
      </c>
      <c r="AQ59" s="31">
        <v>9.2999999999999992E-3</v>
      </c>
    </row>
    <row r="60" spans="1:43" x14ac:dyDescent="0.25">
      <c r="A60" s="105">
        <v>44200</v>
      </c>
      <c r="B60" s="93">
        <v>3218.27</v>
      </c>
      <c r="C60" s="93">
        <v>3187.17</v>
      </c>
      <c r="D60" s="93">
        <v>3237.23</v>
      </c>
      <c r="E60" s="93">
        <v>3145.28</v>
      </c>
      <c r="F60" s="31" t="s">
        <v>314</v>
      </c>
      <c r="G60" s="106">
        <v>1.67E-2</v>
      </c>
      <c r="H60" s="31"/>
      <c r="I60" s="105">
        <v>44200</v>
      </c>
      <c r="J60" s="31">
        <v>1.67</v>
      </c>
      <c r="K60" s="31">
        <v>1.679</v>
      </c>
      <c r="L60" s="31">
        <v>1.786</v>
      </c>
      <c r="M60" s="31">
        <v>1.66</v>
      </c>
      <c r="N60" s="31" t="s">
        <v>376</v>
      </c>
      <c r="O60" s="106">
        <v>5.7999999999999996E-3</v>
      </c>
      <c r="S60" s="105">
        <v>44200</v>
      </c>
      <c r="T60" s="31">
        <v>9.9600000000000009</v>
      </c>
      <c r="U60" s="31">
        <v>9.08</v>
      </c>
      <c r="V60" s="31">
        <v>10.38</v>
      </c>
      <c r="W60" s="31">
        <v>8.9</v>
      </c>
      <c r="X60" s="31" t="s">
        <v>439</v>
      </c>
      <c r="Y60" s="31">
        <v>0.1003</v>
      </c>
      <c r="AB60" s="105">
        <v>44200</v>
      </c>
      <c r="AC60" s="31">
        <v>74.3</v>
      </c>
      <c r="AD60" s="31">
        <v>91.15</v>
      </c>
      <c r="AE60" s="31">
        <v>101.3</v>
      </c>
      <c r="AF60" s="31">
        <v>72.05</v>
      </c>
      <c r="AG60" s="31" t="s">
        <v>498</v>
      </c>
      <c r="AH60" s="31">
        <v>-0.1928</v>
      </c>
      <c r="AK60" s="105">
        <v>44200</v>
      </c>
      <c r="AL60" s="31">
        <v>299.60000000000002</v>
      </c>
      <c r="AM60" s="31">
        <v>306.8</v>
      </c>
      <c r="AN60" s="31">
        <v>337.8</v>
      </c>
      <c r="AO60" s="31">
        <v>295</v>
      </c>
      <c r="AP60" s="31" t="s">
        <v>559</v>
      </c>
      <c r="AQ60" s="31">
        <v>-2.6599999999999999E-2</v>
      </c>
    </row>
    <row r="61" spans="1:43" x14ac:dyDescent="0.25">
      <c r="A61" s="105">
        <v>44199</v>
      </c>
      <c r="B61" s="93">
        <v>3165.34</v>
      </c>
      <c r="C61" s="93">
        <v>2948.69</v>
      </c>
      <c r="D61" s="93">
        <v>3204.24</v>
      </c>
      <c r="E61" s="93">
        <v>2948.64</v>
      </c>
      <c r="F61" s="31" t="s">
        <v>315</v>
      </c>
      <c r="G61" s="106">
        <v>7.3300000000000004E-2</v>
      </c>
      <c r="H61" s="31"/>
      <c r="I61" s="105">
        <v>44199</v>
      </c>
      <c r="J61" s="31">
        <v>1.66</v>
      </c>
      <c r="K61" s="31">
        <v>1.5629999999999999</v>
      </c>
      <c r="L61" s="31">
        <v>1.708</v>
      </c>
      <c r="M61" s="31">
        <v>1.5529999999999999</v>
      </c>
      <c r="N61" s="31" t="s">
        <v>377</v>
      </c>
      <c r="O61" s="106">
        <v>6.2100000000000002E-2</v>
      </c>
      <c r="S61" s="105">
        <v>44199</v>
      </c>
      <c r="T61" s="31">
        <v>9.0500000000000007</v>
      </c>
      <c r="U61" s="31">
        <v>8.44</v>
      </c>
      <c r="V61" s="31">
        <v>9.3699999999999992</v>
      </c>
      <c r="W61" s="31">
        <v>7.7</v>
      </c>
      <c r="X61" s="31" t="s">
        <v>420</v>
      </c>
      <c r="Y61" s="31">
        <v>7.2499999999999995E-2</v>
      </c>
      <c r="AB61" s="105">
        <v>44199</v>
      </c>
      <c r="AC61" s="31">
        <v>92.05</v>
      </c>
      <c r="AD61" s="31">
        <v>92.15</v>
      </c>
      <c r="AE61" s="31">
        <v>95.95</v>
      </c>
      <c r="AF61" s="31">
        <v>84.5</v>
      </c>
      <c r="AG61" s="31" t="s">
        <v>499</v>
      </c>
      <c r="AH61" s="31">
        <v>2.2800000000000001E-2</v>
      </c>
      <c r="AK61" s="105">
        <v>44199</v>
      </c>
      <c r="AL61" s="31">
        <v>307.8</v>
      </c>
      <c r="AM61" s="31">
        <v>304.8</v>
      </c>
      <c r="AN61" s="31">
        <v>325.92</v>
      </c>
      <c r="AO61" s="31">
        <v>292.52</v>
      </c>
      <c r="AP61" s="31" t="s">
        <v>560</v>
      </c>
      <c r="AQ61" s="31">
        <v>2.9399999999999999E-2</v>
      </c>
    </row>
    <row r="62" spans="1:43" x14ac:dyDescent="0.25">
      <c r="A62" s="105">
        <v>44198</v>
      </c>
      <c r="B62" s="93">
        <v>2949.04</v>
      </c>
      <c r="C62" s="93">
        <v>2888.75</v>
      </c>
      <c r="D62" s="93">
        <v>2976.36</v>
      </c>
      <c r="E62" s="93">
        <v>2869.3</v>
      </c>
      <c r="F62" s="31" t="s">
        <v>316</v>
      </c>
      <c r="G62" s="106">
        <v>1.6E-2</v>
      </c>
      <c r="H62" s="31"/>
      <c r="I62" s="105">
        <v>44198</v>
      </c>
      <c r="J62" s="31">
        <v>1.5629999999999999</v>
      </c>
      <c r="K62" s="31">
        <v>1.514</v>
      </c>
      <c r="L62" s="31">
        <v>1.5920000000000001</v>
      </c>
      <c r="M62" s="31">
        <v>1.514</v>
      </c>
      <c r="N62" s="31" t="s">
        <v>378</v>
      </c>
      <c r="O62" s="106">
        <v>1.9E-2</v>
      </c>
      <c r="S62" s="105">
        <v>44198</v>
      </c>
      <c r="T62" s="31">
        <v>8.44</v>
      </c>
      <c r="U62" s="31">
        <v>6.36</v>
      </c>
      <c r="V62" s="31">
        <v>8.58</v>
      </c>
      <c r="W62" s="31">
        <v>6.1</v>
      </c>
      <c r="X62" s="31" t="s">
        <v>440</v>
      </c>
      <c r="Y62" s="31">
        <v>0.3256</v>
      </c>
      <c r="AB62" s="105">
        <v>44198</v>
      </c>
      <c r="AC62" s="31">
        <v>90</v>
      </c>
      <c r="AD62" s="31">
        <v>73.45</v>
      </c>
      <c r="AE62" s="31">
        <v>91.95</v>
      </c>
      <c r="AF62" s="31">
        <v>71.13</v>
      </c>
      <c r="AG62" s="31" t="s">
        <v>500</v>
      </c>
      <c r="AH62" s="31">
        <v>0.25440000000000002</v>
      </c>
      <c r="AK62" s="105">
        <v>44198</v>
      </c>
      <c r="AL62" s="31">
        <v>299</v>
      </c>
      <c r="AM62" s="31">
        <v>255.2</v>
      </c>
      <c r="AN62" s="31">
        <v>329.4</v>
      </c>
      <c r="AO62" s="31">
        <v>245.6</v>
      </c>
      <c r="AP62" s="31" t="s">
        <v>561</v>
      </c>
      <c r="AQ62" s="31">
        <v>0.19500000000000001</v>
      </c>
    </row>
    <row r="63" spans="1:43" x14ac:dyDescent="0.25">
      <c r="A63" s="105">
        <v>44197</v>
      </c>
      <c r="B63" s="93">
        <v>2902.52</v>
      </c>
      <c r="C63" s="93">
        <v>2846.2</v>
      </c>
      <c r="D63" s="93">
        <v>3017.15</v>
      </c>
      <c r="E63" s="93">
        <v>2832.04</v>
      </c>
      <c r="F63" s="31" t="s">
        <v>317</v>
      </c>
      <c r="G63" s="106">
        <v>2.06E-2</v>
      </c>
      <c r="H63" s="31"/>
      <c r="I63" s="105">
        <v>44197</v>
      </c>
      <c r="J63" s="31">
        <v>1.534</v>
      </c>
      <c r="K63" s="31">
        <v>1.631</v>
      </c>
      <c r="L63" s="31">
        <v>1.6990000000000001</v>
      </c>
      <c r="M63" s="31">
        <v>1.534</v>
      </c>
      <c r="N63" s="31" t="s">
        <v>379</v>
      </c>
      <c r="O63" s="106">
        <v>-5.3900000000000003E-2</v>
      </c>
      <c r="S63" s="105">
        <v>44197</v>
      </c>
      <c r="T63" s="31">
        <v>6.36</v>
      </c>
      <c r="U63" s="31">
        <v>6.55</v>
      </c>
      <c r="V63" s="31">
        <v>6.84</v>
      </c>
      <c r="W63" s="31">
        <v>5.81</v>
      </c>
      <c r="X63" s="31" t="s">
        <v>441</v>
      </c>
      <c r="Y63" s="31">
        <v>-3.5900000000000001E-2</v>
      </c>
      <c r="AB63" s="105">
        <v>44197</v>
      </c>
      <c r="AC63" s="31">
        <v>71.75</v>
      </c>
      <c r="AD63" s="31">
        <v>76.05</v>
      </c>
      <c r="AE63" s="31">
        <v>81</v>
      </c>
      <c r="AF63" s="31">
        <v>66.5</v>
      </c>
      <c r="AG63" s="31" t="s">
        <v>501</v>
      </c>
      <c r="AH63" s="31">
        <v>-3.04E-2</v>
      </c>
      <c r="AK63" s="105">
        <v>44197</v>
      </c>
      <c r="AL63" s="31">
        <v>250.2</v>
      </c>
      <c r="AM63" s="31">
        <v>243</v>
      </c>
      <c r="AN63" s="31">
        <v>273.42</v>
      </c>
      <c r="AO63" s="31">
        <v>222.81</v>
      </c>
      <c r="AP63" s="31" t="s">
        <v>562</v>
      </c>
      <c r="AQ63" s="31">
        <v>5.3900000000000003E-2</v>
      </c>
    </row>
  </sheetData>
  <mergeCells count="5">
    <mergeCell ref="A1:G1"/>
    <mergeCell ref="I1:O1"/>
    <mergeCell ref="S1:Y1"/>
    <mergeCell ref="AB1:AH1"/>
    <mergeCell ref="AK1:AQ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2863-EDFC-4B71-9169-E58EB636D059}">
  <dimension ref="A1:L113"/>
  <sheetViews>
    <sheetView topLeftCell="A45" zoomScaleNormal="100" workbookViewId="0">
      <selection activeCell="D78" sqref="D78"/>
    </sheetView>
  </sheetViews>
  <sheetFormatPr defaultRowHeight="15" x14ac:dyDescent="0.25"/>
  <cols>
    <col min="2" max="2" width="53" bestFit="1" customWidth="1"/>
    <col min="3" max="3" width="14.42578125" customWidth="1"/>
  </cols>
  <sheetData>
    <row r="1" spans="1:12" ht="26.25" x14ac:dyDescent="0.4">
      <c r="A1" s="115" t="s">
        <v>54</v>
      </c>
      <c r="B1" s="115"/>
      <c r="C1" s="115"/>
      <c r="D1" s="115"/>
      <c r="E1" s="115"/>
      <c r="F1" s="115"/>
      <c r="G1" s="104"/>
      <c r="H1" s="104"/>
      <c r="I1" s="104"/>
    </row>
    <row r="5" spans="1:12" x14ac:dyDescent="0.25">
      <c r="B5" t="s">
        <v>52</v>
      </c>
      <c r="C5" s="21" t="s">
        <v>57</v>
      </c>
    </row>
    <row r="6" spans="1:12" x14ac:dyDescent="0.25">
      <c r="B6" t="s">
        <v>53</v>
      </c>
      <c r="C6" s="21" t="s">
        <v>58</v>
      </c>
    </row>
    <row r="7" spans="1:12" x14ac:dyDescent="0.25">
      <c r="B7" t="s">
        <v>55</v>
      </c>
      <c r="C7" s="21"/>
    </row>
    <row r="8" spans="1:12" x14ac:dyDescent="0.25">
      <c r="B8" t="s">
        <v>56</v>
      </c>
      <c r="C8" s="22">
        <v>46022</v>
      </c>
    </row>
    <row r="9" spans="1:12" x14ac:dyDescent="0.25">
      <c r="C9" s="21" t="s">
        <v>95</v>
      </c>
    </row>
    <row r="10" spans="1:12" x14ac:dyDescent="0.25">
      <c r="B10" s="24" t="s">
        <v>59</v>
      </c>
      <c r="C10" s="23"/>
      <c r="D10" s="23"/>
      <c r="E10" s="23"/>
      <c r="F10" s="23"/>
      <c r="G10" s="23"/>
      <c r="H10" s="23"/>
      <c r="I10" s="23"/>
    </row>
    <row r="11" spans="1:12" x14ac:dyDescent="0.25">
      <c r="B11" s="24" t="s">
        <v>60</v>
      </c>
      <c r="C11" s="24">
        <v>2024</v>
      </c>
      <c r="D11" s="24">
        <v>2025</v>
      </c>
      <c r="E11" s="24">
        <f>D11+1</f>
        <v>2026</v>
      </c>
      <c r="F11" s="24">
        <f>E11+1</f>
        <v>2027</v>
      </c>
      <c r="G11" s="24">
        <f t="shared" ref="G11:I11" si="0">F11+1</f>
        <v>2028</v>
      </c>
      <c r="H11" s="24">
        <f t="shared" si="0"/>
        <v>2029</v>
      </c>
      <c r="I11" s="24">
        <f t="shared" si="0"/>
        <v>2030</v>
      </c>
      <c r="J11" s="35"/>
      <c r="K11" s="35"/>
      <c r="L11" s="35"/>
    </row>
    <row r="12" spans="1:12" x14ac:dyDescent="0.25">
      <c r="B12" t="s">
        <v>11</v>
      </c>
      <c r="C12">
        <f>INDEX('Income Statement - Data'!$C$3:$D$33,MATCH($B12,'Income Statement - Data'!$B$3:$B$33,0),MATCH('Profit &amp; loss'!C$11,'Income Statement - Data'!$C$2:$D$2,0))</f>
        <v>4476.5</v>
      </c>
      <c r="D12">
        <f>INDEX('Income Statement - Data'!$C$3:$D$33,MATCH($B12,'Income Statement - Data'!$B$3:$B$33,0),MATCH('Profit &amp; loss'!D$11,'Income Statement - Data'!$C$2:$D$2,0))</f>
        <v>5058.6000000000004</v>
      </c>
      <c r="E12" s="31">
        <v>5240</v>
      </c>
      <c r="F12" s="31">
        <v>5350</v>
      </c>
      <c r="G12" s="31">
        <f>F12*(1+G48)</f>
        <v>5457</v>
      </c>
      <c r="H12" s="110">
        <f t="shared" ref="H12:I12" si="1">G12*(1+H48)</f>
        <v>5566.14</v>
      </c>
      <c r="I12" s="110">
        <f t="shared" si="1"/>
        <v>5683.0289400000001</v>
      </c>
    </row>
    <row r="13" spans="1:12" x14ac:dyDescent="0.25">
      <c r="B13" t="s">
        <v>12</v>
      </c>
    </row>
    <row r="14" spans="1:12" x14ac:dyDescent="0.25">
      <c r="B14" t="s">
        <v>15</v>
      </c>
      <c r="C14" s="37">
        <f>INDEX('Income Statement - Data'!$C$3:$D$33,MATCH($B14,'Income Statement - Data'!$B$3:$B$33,0),MATCH('Profit &amp; loss'!C$11,'Income Statement - Data'!$C$2:$D$2,0))</f>
        <v>-2024.1</v>
      </c>
      <c r="D14" s="37">
        <f>INDEX('Income Statement - Data'!$C$3:$D$33,MATCH($B14,'Income Statement - Data'!$B$3:$B$33,0),MATCH('Profit &amp; loss'!D$11,'Income Statement - Data'!$C$2:$D$2,0))</f>
        <v>-2272</v>
      </c>
      <c r="E14" s="37">
        <f>-$E53*E$12</f>
        <v>-2353.4732930059699</v>
      </c>
      <c r="F14" s="37">
        <f>-$E53*F$12</f>
        <v>-2402.8782667141104</v>
      </c>
      <c r="G14" s="37">
        <f t="shared" ref="G14:I14" si="2">-$E53*G$12</f>
        <v>-2450.9358320483925</v>
      </c>
      <c r="H14" s="37">
        <f t="shared" si="2"/>
        <v>-2499.9545486893608</v>
      </c>
      <c r="I14" s="37">
        <f t="shared" si="2"/>
        <v>-2552.4535942118373</v>
      </c>
    </row>
    <row r="15" spans="1:12" x14ac:dyDescent="0.25">
      <c r="B15" t="s">
        <v>16</v>
      </c>
      <c r="C15" s="37">
        <f>INDEX('Income Statement - Data'!$C$3:$D$33,MATCH($B15,'Income Statement - Data'!$B$3:$B$33,0),MATCH('Profit &amp; loss'!C$11,'Income Statement - Data'!$C$2:$D$2,0))</f>
        <v>-445.8</v>
      </c>
      <c r="D15" s="37">
        <f>INDEX('Income Statement - Data'!$C$3:$D$33,MATCH($B15,'Income Statement - Data'!$B$3:$B$33,0),MATCH('Profit &amp; loss'!D$11,'Income Statement - Data'!$C$2:$D$2,0))</f>
        <v>-644.29999999999995</v>
      </c>
      <c r="E15" s="37">
        <f>-$E58*E$12</f>
        <v>-667.40442019531088</v>
      </c>
      <c r="F15" s="37">
        <f>-$E58*F$12</f>
        <v>-681.41481832918191</v>
      </c>
      <c r="G15" s="37">
        <f t="shared" ref="G15:I15" si="3">-$E58*G$12</f>
        <v>-695.04311469576555</v>
      </c>
      <c r="H15" s="37">
        <f t="shared" si="3"/>
        <v>-708.94397698968089</v>
      </c>
      <c r="I15" s="37">
        <f t="shared" si="3"/>
        <v>-723.83180050646422</v>
      </c>
    </row>
    <row r="16" spans="1:12" x14ac:dyDescent="0.25">
      <c r="B16" t="s">
        <v>17</v>
      </c>
      <c r="C16" s="37">
        <f>INDEX('Income Statement - Data'!$C$3:$D$33,MATCH($B16,'Income Statement - Data'!$B$3:$B$33,0),MATCH('Profit &amp; loss'!C$11,'Income Statement - Data'!$C$2:$D$2,0))</f>
        <v>-397.2</v>
      </c>
      <c r="D16" s="37">
        <f>INDEX('Income Statement - Data'!$C$3:$D$33,MATCH($B16,'Income Statement - Data'!$B$3:$B$33,0),MATCH('Profit &amp; loss'!D$11,'Income Statement - Data'!$C$2:$D$2,0))</f>
        <v>-350.9</v>
      </c>
      <c r="E16" s="37">
        <f>-$E63*E$12</f>
        <v>-363.48317716364204</v>
      </c>
      <c r="F16" s="37">
        <f>-$E63*F$12</f>
        <v>-371.11354920333679</v>
      </c>
      <c r="G16" s="37">
        <f t="shared" ref="G16:I16" si="4">-$E63*G$12</f>
        <v>-378.53582018740354</v>
      </c>
      <c r="H16" s="37">
        <f t="shared" si="4"/>
        <v>-386.10653659115167</v>
      </c>
      <c r="I16" s="37">
        <f t="shared" si="4"/>
        <v>-394.21477385956581</v>
      </c>
    </row>
    <row r="17" spans="2:12" x14ac:dyDescent="0.25">
      <c r="B17" t="s">
        <v>19</v>
      </c>
      <c r="C17" s="37">
        <f>INDEX('Income Statement - Data'!$C$3:$D$33,MATCH($B17,'Income Statement - Data'!$B$3:$B$33,0),MATCH('Profit &amp; loss'!C$11,'Income Statement - Data'!$C$2:$D$2,0))</f>
        <v>-329.7</v>
      </c>
      <c r="D17" s="37">
        <f>INDEX('Income Statement - Data'!$C$3:$D$33,MATCH($B17,'Income Statement - Data'!$B$3:$B$33,0),MATCH('Profit &amp; loss'!D$11,'Income Statement - Data'!$C$2:$D$2,0))</f>
        <v>-349.3</v>
      </c>
      <c r="E17" s="37">
        <f ca="1">-$E68*E$12</f>
        <v>-361.82580160518722</v>
      </c>
      <c r="F17" s="37">
        <f ca="1">-$E68*F$12</f>
        <v>-369.42138140987623</v>
      </c>
      <c r="G17" s="37">
        <f t="shared" ref="G17:I17" ca="1" si="5">-$E68*G$12</f>
        <v>-376.80980903807375</v>
      </c>
      <c r="H17" s="37">
        <f t="shared" ca="1" si="5"/>
        <v>-384.34600521883527</v>
      </c>
      <c r="I17" s="37">
        <f t="shared" ca="1" si="5"/>
        <v>-392.41727132843079</v>
      </c>
    </row>
    <row r="18" spans="2:12" x14ac:dyDescent="0.25">
      <c r="B18" t="s">
        <v>20</v>
      </c>
      <c r="C18" s="37">
        <f>INDEX('Income Statement - Data'!$C$3:$D$33,MATCH($B18,'Income Statement - Data'!$B$3:$B$33,0),MATCH('Profit &amp; loss'!C$11,'Income Statement - Data'!$C$2:$D$2,0))</f>
        <v>-104.4</v>
      </c>
      <c r="D18" s="37">
        <f>INDEX('Income Statement - Data'!$C$3:$D$33,MATCH($B18,'Income Statement - Data'!$B$3:$B$33,0),MATCH('Profit &amp; loss'!D$11,'Income Statement - Data'!$C$2:$D$2,0))</f>
        <v>-90</v>
      </c>
      <c r="E18" s="37">
        <f>-$E73*E$12</f>
        <v>-93.227375163088595</v>
      </c>
      <c r="F18" s="37">
        <f>-$E73*F$12</f>
        <v>-95.184438382161076</v>
      </c>
      <c r="G18" s="37">
        <f t="shared" ref="G18:I18" si="6">-$E73*G$12</f>
        <v>-97.088127149804293</v>
      </c>
      <c r="H18" s="37">
        <f t="shared" si="6"/>
        <v>-99.029889692800381</v>
      </c>
      <c r="I18" s="37">
        <f t="shared" si="6"/>
        <v>-101.10951737634919</v>
      </c>
    </row>
    <row r="19" spans="2:12" x14ac:dyDescent="0.25">
      <c r="B19" t="s">
        <v>21</v>
      </c>
      <c r="C19" s="37">
        <f>INDEX('Income Statement - Data'!$C$3:$D$33,MATCH($B19,'Income Statement - Data'!$B$3:$B$33,0),MATCH('Profit &amp; loss'!C$11,'Income Statement - Data'!$C$2:$D$2,0))</f>
        <v>-102.1</v>
      </c>
      <c r="D19" s="37">
        <f>INDEX('Income Statement - Data'!$C$3:$D$33,MATCH($B19,'Income Statement - Data'!$B$3:$B$33,0),MATCH('Profit &amp; loss'!D$11,'Income Statement - Data'!$C$2:$D$2,0))</f>
        <v>-122.6</v>
      </c>
      <c r="E19" s="37">
        <f ca="1">-$E78*E$12</f>
        <v>-126.99640216660735</v>
      </c>
      <c r="F19" s="37">
        <f ca="1">-$E78*F$12</f>
        <v>-129.66235717392163</v>
      </c>
      <c r="G19" s="37">
        <f t="shared" ref="G19:I19" ca="1" si="7">-$E78*G$12</f>
        <v>-132.25560431740007</v>
      </c>
      <c r="H19" s="37">
        <f t="shared" ca="1" si="7"/>
        <v>-134.90071640374808</v>
      </c>
      <c r="I19" s="37">
        <f t="shared" ca="1" si="7"/>
        <v>-137.73363144822679</v>
      </c>
    </row>
    <row r="20" spans="2:12" x14ac:dyDescent="0.25">
      <c r="B20" t="s">
        <v>22</v>
      </c>
      <c r="C20" s="37">
        <f>INDEX('Income Statement - Data'!$C$3:$D$33,MATCH($B20,'Income Statement - Data'!$B$3:$B$33,0),MATCH('Profit &amp; loss'!C$11,'Income Statement - Data'!$C$2:$D$2,0))</f>
        <v>-86.8</v>
      </c>
      <c r="D20" s="37">
        <f>INDEX('Income Statement - Data'!$C$3:$D$33,MATCH($B20,'Income Statement - Data'!$B$3:$B$33,0),MATCH('Profit &amp; loss'!D$11,'Income Statement - Data'!$C$2:$D$2,0))</f>
        <v>-97.5</v>
      </c>
      <c r="E20" s="37">
        <f t="shared" ref="E20:I28" si="8">-$E$83*E$12*($D20/SUM($D$20:$D$28))</f>
        <v>-100.99632309334598</v>
      </c>
      <c r="F20" s="37">
        <f t="shared" si="8"/>
        <v>-103.11647491400781</v>
      </c>
      <c r="G20" s="37">
        <f t="shared" si="8"/>
        <v>-105.17880441228797</v>
      </c>
      <c r="H20" s="37">
        <f t="shared" si="8"/>
        <v>-107.28238050053375</v>
      </c>
      <c r="I20" s="37">
        <f t="shared" si="8"/>
        <v>-109.53531049104495</v>
      </c>
    </row>
    <row r="21" spans="2:12" x14ac:dyDescent="0.25">
      <c r="B21" s="1" t="s">
        <v>23</v>
      </c>
      <c r="C21" s="37">
        <f>INDEX('Income Statement - Data'!$C$3:$D$33,MATCH($B21,'Income Statement - Data'!$B$3:$B$33,0),MATCH('Profit &amp; loss'!C$11,'Income Statement - Data'!$C$2:$D$2,0))</f>
        <v>-74.599999999999994</v>
      </c>
      <c r="D21" s="37">
        <f>INDEX('Income Statement - Data'!$C$3:$D$33,MATCH($B21,'Income Statement - Data'!$B$3:$B$33,0),MATCH('Profit &amp; loss'!D$11,'Income Statement - Data'!$C$2:$D$2,0))</f>
        <v>-85.7</v>
      </c>
      <c r="E21" s="37">
        <f t="shared" si="8"/>
        <v>-88.773178349741031</v>
      </c>
      <c r="F21" s="37">
        <f t="shared" si="8"/>
        <v>-90.636737437235595</v>
      </c>
      <c r="G21" s="37">
        <f t="shared" si="8"/>
        <v>-92.449472185980298</v>
      </c>
      <c r="H21" s="37">
        <f t="shared" si="8"/>
        <v>-94.298461629699915</v>
      </c>
      <c r="I21" s="37">
        <f t="shared" si="8"/>
        <v>-96.278729323923628</v>
      </c>
      <c r="K21" s="1"/>
    </row>
    <row r="22" spans="2:12" x14ac:dyDescent="0.25">
      <c r="B22" s="1" t="s">
        <v>24</v>
      </c>
      <c r="C22" s="37">
        <f>INDEX('Income Statement - Data'!$C$3:$D$33,MATCH($B22,'Income Statement - Data'!$B$3:$B$33,0),MATCH('Profit &amp; loss'!C$11,'Income Statement - Data'!$C$2:$D$2,0))</f>
        <v>-73.5</v>
      </c>
      <c r="D22" s="37">
        <f>INDEX('Income Statement - Data'!$C$3:$D$33,MATCH($B22,'Income Statement - Data'!$B$3:$B$33,0),MATCH('Profit &amp; loss'!D$11,'Income Statement - Data'!$C$2:$D$2,0))</f>
        <v>-90.6</v>
      </c>
      <c r="E22" s="37">
        <f t="shared" si="8"/>
        <v>-93.848890997509173</v>
      </c>
      <c r="F22" s="37">
        <f t="shared" si="8"/>
        <v>-95.819001304708792</v>
      </c>
      <c r="G22" s="37">
        <f t="shared" si="8"/>
        <v>-97.73538133080298</v>
      </c>
      <c r="H22" s="37">
        <f t="shared" si="8"/>
        <v>-99.69008895741905</v>
      </c>
      <c r="I22" s="37">
        <f t="shared" si="8"/>
        <v>-101.78358082552485</v>
      </c>
      <c r="K22" s="1"/>
    </row>
    <row r="23" spans="2:12" x14ac:dyDescent="0.25">
      <c r="B23" t="s">
        <v>25</v>
      </c>
      <c r="C23" s="37">
        <f>INDEX('Income Statement - Data'!$C$3:$D$33,MATCH($B23,'Income Statement - Data'!$B$3:$B$33,0),MATCH('Profit &amp; loss'!C$11,'Income Statement - Data'!$C$2:$D$2,0))</f>
        <v>-12</v>
      </c>
      <c r="D23" s="37">
        <f>INDEX('Income Statement - Data'!$C$3:$D$33,MATCH($B23,'Income Statement - Data'!$B$3:$B$33,0),MATCH('Profit &amp; loss'!D$11,'Income Statement - Data'!$C$2:$D$2,0))</f>
        <v>-70.400000000000006</v>
      </c>
      <c r="E23" s="37">
        <f t="shared" si="8"/>
        <v>-72.924524572015969</v>
      </c>
      <c r="F23" s="37">
        <f t="shared" si="8"/>
        <v>-74.45538291226822</v>
      </c>
      <c r="G23" s="37">
        <f t="shared" si="8"/>
        <v>-75.94449057051358</v>
      </c>
      <c r="H23" s="37">
        <f t="shared" si="8"/>
        <v>-77.463380381923855</v>
      </c>
      <c r="I23" s="37">
        <f t="shared" si="8"/>
        <v>-79.090111369944267</v>
      </c>
    </row>
    <row r="24" spans="2:12" x14ac:dyDescent="0.25">
      <c r="B24" s="1" t="s">
        <v>26</v>
      </c>
      <c r="C24" s="37">
        <f>INDEX('Income Statement - Data'!$C$3:$D$33,MATCH($B24,'Income Statement - Data'!$B$3:$B$33,0),MATCH('Profit &amp; loss'!C$11,'Income Statement - Data'!$C$2:$D$2,0))</f>
        <v>-34.5</v>
      </c>
      <c r="D24" s="37">
        <f>INDEX('Income Statement - Data'!$C$3:$D$33,MATCH($B24,'Income Statement - Data'!$B$3:$B$33,0),MATCH('Profit &amp; loss'!D$11,'Income Statement - Data'!$C$2:$D$2,0))</f>
        <v>-36</v>
      </c>
      <c r="E24" s="37">
        <f t="shared" si="8"/>
        <v>-37.290950065235435</v>
      </c>
      <c r="F24" s="37">
        <f t="shared" si="8"/>
        <v>-38.073775352864423</v>
      </c>
      <c r="G24" s="37">
        <f t="shared" si="8"/>
        <v>-38.835250859921707</v>
      </c>
      <c r="H24" s="37">
        <f t="shared" si="8"/>
        <v>-39.611955877120145</v>
      </c>
      <c r="I24" s="37">
        <f t="shared" si="8"/>
        <v>-40.443806950539674</v>
      </c>
      <c r="K24" s="1"/>
    </row>
    <row r="25" spans="2:12" x14ac:dyDescent="0.25">
      <c r="B25" t="s">
        <v>27</v>
      </c>
      <c r="C25" s="37">
        <f>INDEX('Income Statement - Data'!$C$3:$D$33,MATCH($B25,'Income Statement - Data'!$B$3:$B$33,0),MATCH('Profit &amp; loss'!C$11,'Income Statement - Data'!$C$2:$D$2,0))</f>
        <v>-33.200000000000003</v>
      </c>
      <c r="D25" s="37">
        <f>INDEX('Income Statement - Data'!$C$3:$D$33,MATCH($B25,'Income Statement - Data'!$B$3:$B$33,0),MATCH('Profit &amp; loss'!D$11,'Income Statement - Data'!$C$2:$D$2,0))</f>
        <v>-30.8</v>
      </c>
      <c r="E25" s="37">
        <f t="shared" si="8"/>
        <v>-31.904479500256986</v>
      </c>
      <c r="F25" s="37">
        <f t="shared" si="8"/>
        <v>-32.574230024117341</v>
      </c>
      <c r="G25" s="37">
        <f t="shared" si="8"/>
        <v>-33.225714624599689</v>
      </c>
      <c r="H25" s="37">
        <f t="shared" si="8"/>
        <v>-33.890228917091683</v>
      </c>
      <c r="I25" s="37">
        <f t="shared" si="8"/>
        <v>-34.601923724350613</v>
      </c>
    </row>
    <row r="26" spans="2:12" x14ac:dyDescent="0.25">
      <c r="B26" s="1" t="s">
        <v>28</v>
      </c>
      <c r="C26" s="37" t="str">
        <f>INDEX('Income Statement - Data'!$C$3:$D$33,MATCH($B26,'Income Statement - Data'!$B$3:$B$33,0),MATCH('Profit &amp; loss'!C$11,'Income Statement - Data'!$C$2:$D$2,0))</f>
        <v>–</v>
      </c>
      <c r="D26" s="37">
        <f>INDEX('Income Statement - Data'!$C$3:$D$33,MATCH($B26,'Income Statement - Data'!$B$3:$B$33,0),MATCH('Profit &amp; loss'!D$11,'Income Statement - Data'!$C$2:$D$2,0))</f>
        <v>-2.1</v>
      </c>
      <c r="E26" s="37">
        <f t="shared" si="8"/>
        <v>-2.1753054204720672</v>
      </c>
      <c r="F26" s="37">
        <f t="shared" si="8"/>
        <v>-2.2209702289170914</v>
      </c>
      <c r="G26" s="37">
        <f t="shared" si="8"/>
        <v>-2.2653896334954333</v>
      </c>
      <c r="H26" s="37">
        <f t="shared" si="8"/>
        <v>-2.3106974261653419</v>
      </c>
      <c r="I26" s="37">
        <f t="shared" si="8"/>
        <v>-2.3592220721148145</v>
      </c>
      <c r="K26" s="1"/>
    </row>
    <row r="27" spans="2:12" x14ac:dyDescent="0.25">
      <c r="B27" t="s">
        <v>29</v>
      </c>
      <c r="C27" s="37">
        <f>INDEX('Income Statement - Data'!$C$3:$D$33,MATCH($B27,'Income Statement - Data'!$B$3:$B$33,0),MATCH('Profit &amp; loss'!C$11,'Income Statement - Data'!$C$2:$D$2,0))</f>
        <v>5.0999999999999996</v>
      </c>
      <c r="D27" s="37">
        <f>INDEX('Income Statement - Data'!$C$3:$D$33,MATCH($B27,'Income Statement - Data'!$B$3:$B$33,0),MATCH('Profit &amp; loss'!D$11,'Income Statement - Data'!$C$2:$D$2,0))</f>
        <v>25.9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</row>
    <row r="28" spans="2:12" x14ac:dyDescent="0.25">
      <c r="B28" t="s">
        <v>30</v>
      </c>
      <c r="C28" s="37">
        <f>INDEX('Income Statement - Data'!$C$3:$D$33,MATCH($B28,'Income Statement - Data'!$B$3:$B$33,0),MATCH('Profit &amp; loss'!C$11,'Income Statement - Data'!$C$2:$D$2,0))</f>
        <v>-72.400000000000006</v>
      </c>
      <c r="D28" s="37">
        <f>INDEX('Income Statement - Data'!$C$3:$D$33,MATCH($B28,'Income Statement - Data'!$B$3:$B$33,0),MATCH('Profit &amp; loss'!D$11,'Income Statement - Data'!$C$2:$D$2,0))</f>
        <v>-69.7</v>
      </c>
      <c r="E28" s="37">
        <f t="shared" si="8"/>
        <v>-72.19942276519194</v>
      </c>
      <c r="F28" s="37">
        <f t="shared" si="8"/>
        <v>-73.715059502629188</v>
      </c>
      <c r="G28" s="37">
        <f t="shared" si="8"/>
        <v>-75.18936069268176</v>
      </c>
      <c r="H28" s="37">
        <f t="shared" si="8"/>
        <v>-76.693147906535415</v>
      </c>
      <c r="I28" s="37">
        <f t="shared" si="8"/>
        <v>-78.303704012572652</v>
      </c>
    </row>
    <row r="29" spans="2:12" x14ac:dyDescent="0.25">
      <c r="B29" t="s">
        <v>31</v>
      </c>
      <c r="C29" s="37">
        <f>SUM(C14:C28)</f>
        <v>-3785.2</v>
      </c>
      <c r="D29" s="37">
        <f>SUM(D14:D28)</f>
        <v>-4286.0000000000009</v>
      </c>
      <c r="E29" s="37">
        <f ca="1">SUM(E14:E28)</f>
        <v>-4466.5235440635752</v>
      </c>
      <c r="F29" s="37">
        <f ca="1">SUM(F14:F28)</f>
        <v>-4560.2864428893372</v>
      </c>
      <c r="G29" s="37">
        <f t="shared" ref="G29:I29" ca="1" si="9">SUM(G14:G28)</f>
        <v>-4651.4921717471207</v>
      </c>
      <c r="H29" s="37">
        <f t="shared" ca="1" si="9"/>
        <v>-4744.5220151820658</v>
      </c>
      <c r="I29" s="37">
        <f t="shared" ca="1" si="9"/>
        <v>-4844.1569775008902</v>
      </c>
    </row>
    <row r="31" spans="2:12" x14ac:dyDescent="0.25">
      <c r="B31" s="12" t="s">
        <v>61</v>
      </c>
      <c r="C31" s="27">
        <f>SUM(C12:C28)</f>
        <v>691.30000000000007</v>
      </c>
      <c r="D31" s="27">
        <f>SUM(D12:D28)</f>
        <v>772.60000000000014</v>
      </c>
      <c r="E31" s="27">
        <f ca="1">SUM(E12:E28)</f>
        <v>773.47645593642494</v>
      </c>
      <c r="F31" s="27">
        <f ca="1">SUM(F12:F28)</f>
        <v>789.71355711066383</v>
      </c>
      <c r="G31" s="27">
        <f t="shared" ref="G31:I31" ca="1" si="10">SUM(G12:G28)</f>
        <v>805.50782825287706</v>
      </c>
      <c r="H31" s="27">
        <f t="shared" ca="1" si="10"/>
        <v>821.61798481793437</v>
      </c>
      <c r="I31" s="27">
        <f t="shared" ca="1" si="10"/>
        <v>838.87196249911017</v>
      </c>
      <c r="J31" s="27"/>
      <c r="K31" s="12"/>
      <c r="L31" s="27"/>
    </row>
    <row r="32" spans="2:12" x14ac:dyDescent="0.25">
      <c r="B32" t="s">
        <v>18</v>
      </c>
      <c r="C32" s="7">
        <f>INDEX('Income Statement - Data'!$C$3:$D$33,MATCH($B32,'Income Statement - Data'!$B$3:$B$33,0),MATCH('Profit &amp; loss'!C$11,'Income Statement - Data'!$C$2:$D$2,0))</f>
        <v>-368.4</v>
      </c>
      <c r="D32" s="7">
        <f>INDEX('Income Statement - Data'!$C$3:$D$33,MATCH($B32,'Income Statement - Data'!$B$3:$B$33,0),MATCH('Profit &amp; loss'!D$11,'Income Statement - Data'!$C$2:$D$2,0))</f>
        <v>-399.6</v>
      </c>
      <c r="E32" s="7">
        <f>'Fixed assets schedule'!E14</f>
        <v>-437.32044448529803</v>
      </c>
      <c r="F32" s="7">
        <f ca="1">'Fixed assets schedule'!F14</f>
        <v>-471.88960848717466</v>
      </c>
      <c r="G32" s="7">
        <f ca="1">'Fixed assets schedule'!G14</f>
        <v>-502.70316984993144</v>
      </c>
      <c r="H32" s="7">
        <f ca="1">'Fixed assets schedule'!H14</f>
        <v>-530.38300837039526</v>
      </c>
      <c r="I32" s="7">
        <f ca="1">'Fixed assets schedule'!I14</f>
        <v>-555.55292720866862</v>
      </c>
      <c r="J32" s="38"/>
      <c r="L32" s="38"/>
    </row>
    <row r="33" spans="2:12" x14ac:dyDescent="0.25">
      <c r="B33" s="1"/>
      <c r="D33" s="1"/>
      <c r="E33" s="1"/>
      <c r="J33" s="1"/>
      <c r="K33" s="1"/>
    </row>
    <row r="34" spans="2:12" x14ac:dyDescent="0.25">
      <c r="B34" s="8" t="s">
        <v>62</v>
      </c>
      <c r="C34" s="7">
        <f>SUM(C31:C32)</f>
        <v>322.90000000000009</v>
      </c>
      <c r="D34" s="7">
        <f>SUM(D31:D32)</f>
        <v>373.00000000000011</v>
      </c>
      <c r="E34" s="7">
        <f ca="1">SUM(E31:E32)</f>
        <v>336.15601145112691</v>
      </c>
      <c r="F34" s="7">
        <f ca="1">SUM(F31:F32)</f>
        <v>317.82394862348917</v>
      </c>
      <c r="G34" s="7">
        <f t="shared" ref="G34:I34" ca="1" si="11">SUM(G31:G32)</f>
        <v>302.80465840294562</v>
      </c>
      <c r="H34" s="7">
        <f t="shared" ca="1" si="11"/>
        <v>291.23497644753911</v>
      </c>
      <c r="I34" s="7">
        <f t="shared" ca="1" si="11"/>
        <v>283.31903529044155</v>
      </c>
      <c r="J34" s="7"/>
      <c r="K34" s="8"/>
      <c r="L34" s="7"/>
    </row>
    <row r="35" spans="2:12" x14ac:dyDescent="0.25">
      <c r="B35" t="s">
        <v>33</v>
      </c>
    </row>
    <row r="36" spans="2:12" x14ac:dyDescent="0.25">
      <c r="B36" s="1" t="s">
        <v>32</v>
      </c>
      <c r="C36">
        <f>INDEX('Income Statement - Data'!$C$3:$D$33,MATCH($B36,'Income Statement - Data'!$B$3:$B$33,0),MATCH('Profit &amp; loss'!C$11,'Income Statement - Data'!$C$2:$D$2,0))</f>
        <v>31.7</v>
      </c>
      <c r="D36">
        <f>INDEX('Income Statement - Data'!$C$3:$D$33,MATCH($B36,'Income Statement - Data'!$B$3:$B$33,0),MATCH('Profit &amp; loss'!D$11,'Income Statement - Data'!$C$2:$D$2,0))</f>
        <v>20.399999999999999</v>
      </c>
      <c r="E36" s="37">
        <f ca="1">E91*E$12</f>
        <v>21.131538370300078</v>
      </c>
      <c r="F36" s="37">
        <f ca="1">F91*F$12</f>
        <v>21.575139366623173</v>
      </c>
      <c r="G36" s="37">
        <f ca="1">G91*G$12</f>
        <v>22.006642153955635</v>
      </c>
      <c r="H36" s="37">
        <f t="shared" ref="H36:I36" ca="1" si="12">H91*H$12</f>
        <v>22.446774997034751</v>
      </c>
      <c r="I36" s="37">
        <f t="shared" ca="1" si="12"/>
        <v>22.918157271972479</v>
      </c>
      <c r="K36" s="1"/>
    </row>
    <row r="37" spans="2:12" x14ac:dyDescent="0.25">
      <c r="B37" t="s">
        <v>34</v>
      </c>
      <c r="C37">
        <f>INDEX('Income Statement - Data'!$C$3:$D$33,MATCH($B37,'Income Statement - Data'!$B$3:$B$33,0),MATCH('Profit &amp; loss'!C$11,'Income Statement - Data'!$C$2:$D$2,0))</f>
        <v>-38.9</v>
      </c>
      <c r="D37">
        <f>INDEX('Income Statement - Data'!$C$3:$D$33,MATCH($B37,'Income Statement - Data'!$B$3:$B$33,0),MATCH('Profit &amp; loss'!D$11,'Income Statement - Data'!$C$2:$D$2,0))</f>
        <v>-52.8</v>
      </c>
      <c r="E37" s="37">
        <f>-('debt schedule'!D7+'debt schedule'!D13)</f>
        <v>-70.480762890955205</v>
      </c>
      <c r="F37" s="37">
        <f>-('debt schedule'!E7+'debt schedule'!E13)</f>
        <v>-70.480762890955205</v>
      </c>
      <c r="G37" s="37">
        <f>-('debt schedule'!F7+'debt schedule'!F13)</f>
        <v>-70.480762890955205</v>
      </c>
      <c r="H37" s="37">
        <f>-('debt schedule'!G7+'debt schedule'!G13)</f>
        <v>-70.480762890955205</v>
      </c>
      <c r="I37" s="37">
        <f>-('debt schedule'!H7+'debt schedule'!H13)</f>
        <v>-70.480762890955205</v>
      </c>
    </row>
    <row r="38" spans="2:12" x14ac:dyDescent="0.25">
      <c r="B38" t="s">
        <v>35</v>
      </c>
      <c r="C38">
        <f>INDEX('Income Statement - Data'!$C$3:$D$33,MATCH($B38,'Income Statement - Data'!$B$3:$B$33,0),MATCH('Profit &amp; loss'!C$11,'Income Statement - Data'!$C$2:$D$2,0))</f>
        <v>1.8</v>
      </c>
      <c r="D38">
        <f>INDEX('Income Statement - Data'!$C$3:$D$33,MATCH($B38,'Income Statement - Data'!$B$3:$B$33,0),MATCH('Profit &amp; loss'!D$11,'Income Statement - Data'!$C$2:$D$2,0))</f>
        <v>0.8</v>
      </c>
      <c r="E38" s="37">
        <f ca="1">E101*E$12</f>
        <v>0.82868777922745418</v>
      </c>
      <c r="F38" s="37">
        <f ca="1">F101*F$12</f>
        <v>0.84608389673032058</v>
      </c>
      <c r="G38" s="37">
        <f t="shared" ref="G38:I38" ca="1" si="13">G101*G$12</f>
        <v>0.863005574664927</v>
      </c>
      <c r="H38" s="37">
        <f t="shared" ca="1" si="13"/>
        <v>0.88026568615822565</v>
      </c>
      <c r="I38" s="37">
        <f t="shared" ca="1" si="13"/>
        <v>0.89875126556754825</v>
      </c>
    </row>
    <row r="39" spans="2:12" x14ac:dyDescent="0.25">
      <c r="B39" s="12" t="s">
        <v>63</v>
      </c>
      <c r="C39" s="27">
        <f>SUM(C34,C36:C38)</f>
        <v>317.50000000000011</v>
      </c>
      <c r="D39" s="27">
        <f>SUM(D34,D36:D38)</f>
        <v>341.40000000000009</v>
      </c>
      <c r="E39" s="27">
        <f ca="1">SUM(E34,E36:E38)</f>
        <v>287.63547470969922</v>
      </c>
      <c r="F39" s="27">
        <f ca="1">SUM(F34,F36:F38)</f>
        <v>269.76440899588744</v>
      </c>
      <c r="G39" s="27">
        <f t="shared" ref="G39:I39" ca="1" si="14">SUM(G34,G36:G38)</f>
        <v>255.19354324061098</v>
      </c>
      <c r="H39" s="27">
        <f t="shared" ca="1" si="14"/>
        <v>244.08125423977691</v>
      </c>
      <c r="I39" s="27">
        <f t="shared" ca="1" si="14"/>
        <v>236.65518093702636</v>
      </c>
      <c r="J39" s="27"/>
      <c r="K39" s="12"/>
      <c r="L39" s="27"/>
    </row>
    <row r="40" spans="2:12" x14ac:dyDescent="0.25">
      <c r="B40" t="s">
        <v>36</v>
      </c>
      <c r="C40">
        <f>INDEX('Income Statement - Data'!$C$3:$D$33,MATCH($B40,'Income Statement - Data'!$B$3:$B$33,0),MATCH('Profit &amp; loss'!C$11,'Income Statement - Data'!$C$2:$D$2,0))</f>
        <v>-61.8</v>
      </c>
      <c r="D40">
        <f>INDEX('Income Statement - Data'!$C$3:$D$33,MATCH($B40,'Income Statement - Data'!$B$3:$B$33,0),MATCH('Profit &amp; loss'!D$11,'Income Statement - Data'!$C$2:$D$2,0))</f>
        <v>-69.5</v>
      </c>
      <c r="E40" s="37">
        <f ca="1">-E39*E105</f>
        <v>-57.270982889745234</v>
      </c>
      <c r="F40" s="37">
        <f ca="1">-F39*F105</f>
        <v>-53.712682232462939</v>
      </c>
      <c r="G40" s="37">
        <f t="shared" ref="G40:I40" ca="1" si="15">-G39*G105</f>
        <v>-50.811483052488938</v>
      </c>
      <c r="H40" s="37">
        <f t="shared" ca="1" si="15"/>
        <v>-48.598919689520649</v>
      </c>
      <c r="I40" s="37">
        <f t="shared" ca="1" si="15"/>
        <v>-47.120317241442713</v>
      </c>
    </row>
    <row r="41" spans="2:12" x14ac:dyDescent="0.25">
      <c r="B41" s="30" t="s">
        <v>0</v>
      </c>
      <c r="C41" s="30">
        <f>SUM(C39:C40)</f>
        <v>255.7000000000001</v>
      </c>
      <c r="D41" s="30">
        <f>SUM(D39:D40)</f>
        <v>271.90000000000009</v>
      </c>
      <c r="E41" s="46">
        <f ca="1">SUM(E39:E40)</f>
        <v>230.364491819954</v>
      </c>
      <c r="F41" s="46">
        <f ca="1">SUM(F39:F40)</f>
        <v>216.05172676342448</v>
      </c>
      <c r="G41" s="46">
        <f t="shared" ref="G41:I41" ca="1" si="16">SUM(G39:G40)</f>
        <v>204.38206018812204</v>
      </c>
      <c r="H41" s="46">
        <f t="shared" ca="1" si="16"/>
        <v>195.48233455025627</v>
      </c>
      <c r="I41" s="46">
        <f t="shared" ca="1" si="16"/>
        <v>189.53486369558365</v>
      </c>
      <c r="J41" s="30"/>
      <c r="K41" s="30"/>
      <c r="L41" s="30"/>
    </row>
    <row r="44" spans="2:12" x14ac:dyDescent="0.25">
      <c r="B44" s="32" t="s">
        <v>91</v>
      </c>
      <c r="C44" s="33">
        <v>2024</v>
      </c>
      <c r="D44" s="33">
        <f>D11</f>
        <v>2025</v>
      </c>
      <c r="E44" s="33">
        <f>E11</f>
        <v>2026</v>
      </c>
      <c r="F44" s="33">
        <f>F11</f>
        <v>2027</v>
      </c>
      <c r="G44" s="33">
        <f t="shared" ref="G44:I44" si="17">G11</f>
        <v>2028</v>
      </c>
      <c r="H44" s="33">
        <f t="shared" si="17"/>
        <v>2029</v>
      </c>
      <c r="I44" s="33">
        <f t="shared" si="17"/>
        <v>2030</v>
      </c>
      <c r="J44" s="32" t="s">
        <v>95</v>
      </c>
    </row>
    <row r="45" spans="2:12" x14ac:dyDescent="0.25">
      <c r="B45" s="33" t="s">
        <v>92</v>
      </c>
      <c r="C45" s="33"/>
      <c r="D45" s="33"/>
      <c r="E45" s="33"/>
      <c r="F45" s="33"/>
      <c r="G45" s="33"/>
      <c r="H45" s="33"/>
      <c r="I45" s="33"/>
      <c r="J45" s="32" t="s">
        <v>98</v>
      </c>
    </row>
    <row r="46" spans="2:12" s="8" customFormat="1" x14ac:dyDescent="0.25">
      <c r="B46" s="32" t="s">
        <v>93</v>
      </c>
      <c r="C46" s="32"/>
      <c r="D46" s="39">
        <f ca="1">OFFSET(D46,MATCH($C$9,$B47:$B49,0),)</f>
        <v>0.13003462526527429</v>
      </c>
      <c r="E46" s="39">
        <f ca="1">OFFSET(E46,MATCH($C$9,$B47:$B49,0),)</f>
        <v>3.5859724034317718E-2</v>
      </c>
      <c r="F46" s="39">
        <f ca="1">OFFSET(F46,MATCH($C$9,$B47:$B49,0),)</f>
        <v>2.0992366412213741E-2</v>
      </c>
      <c r="G46" s="39">
        <f t="shared" ref="G46:I46" ca="1" si="18">OFFSET(G46,MATCH($C$9,$B47:$B49,0),)</f>
        <v>0.02</v>
      </c>
      <c r="H46" s="39">
        <f t="shared" ca="1" si="18"/>
        <v>0.02</v>
      </c>
      <c r="I46" s="39">
        <f t="shared" ca="1" si="18"/>
        <v>2.1000000000000001E-2</v>
      </c>
      <c r="J46" s="32"/>
    </row>
    <row r="47" spans="2:12" x14ac:dyDescent="0.25">
      <c r="B47" s="33" t="s">
        <v>94</v>
      </c>
      <c r="C47" s="33"/>
      <c r="D47" s="34">
        <f>(D$12-C$12)/C$12</f>
        <v>0.13003462526527429</v>
      </c>
      <c r="E47" s="36">
        <f>E48+$J47</f>
        <v>4.585972403431772E-2</v>
      </c>
      <c r="F47" s="36">
        <f>F48+$J47</f>
        <v>3.0992366412213743E-2</v>
      </c>
      <c r="G47" s="36">
        <f t="shared" ref="G47:I47" si="19">G48+$J47</f>
        <v>0.03</v>
      </c>
      <c r="H47" s="36">
        <f t="shared" si="19"/>
        <v>0.03</v>
      </c>
      <c r="I47" s="36">
        <f t="shared" si="19"/>
        <v>3.1E-2</v>
      </c>
      <c r="J47" s="36">
        <v>0.01</v>
      </c>
    </row>
    <row r="48" spans="2:12" x14ac:dyDescent="0.25">
      <c r="B48" s="33" t="s">
        <v>95</v>
      </c>
      <c r="C48" s="33"/>
      <c r="D48" s="34">
        <f>(D$12-C$12)/C$12</f>
        <v>0.13003462526527429</v>
      </c>
      <c r="E48" s="36">
        <f>(E$12-D$12)/D$12</f>
        <v>3.5859724034317718E-2</v>
      </c>
      <c r="F48" s="36">
        <f>(F$12-E$12)/E$12</f>
        <v>2.0992366412213741E-2</v>
      </c>
      <c r="G48" s="36">
        <v>0.02</v>
      </c>
      <c r="H48" s="36">
        <v>0.02</v>
      </c>
      <c r="I48" s="36">
        <v>2.1000000000000001E-2</v>
      </c>
      <c r="J48" s="36"/>
    </row>
    <row r="49" spans="2:10" x14ac:dyDescent="0.25">
      <c r="B49" s="33" t="s">
        <v>96</v>
      </c>
      <c r="C49" s="33"/>
      <c r="D49" s="34">
        <f>(D$12-C$12)/C$12</f>
        <v>0.13003462526527429</v>
      </c>
      <c r="E49" s="36">
        <f>$E$48+$J49</f>
        <v>2.5859724034317716E-2</v>
      </c>
      <c r="F49" s="36">
        <f>F48+$J49</f>
        <v>1.0992366412213741E-2</v>
      </c>
      <c r="G49" s="36">
        <f t="shared" ref="G49:I49" si="20">G48+$J49</f>
        <v>0.01</v>
      </c>
      <c r="H49" s="36">
        <f t="shared" si="20"/>
        <v>0.01</v>
      </c>
      <c r="I49" s="36">
        <f t="shared" si="20"/>
        <v>1.1000000000000001E-2</v>
      </c>
      <c r="J49" s="36">
        <v>-0.01</v>
      </c>
    </row>
    <row r="50" spans="2:10" x14ac:dyDescent="0.25">
      <c r="B50" s="33" t="str">
        <f>B14 &amp; " as % of revenue"</f>
        <v>Staff costs as % of revenue</v>
      </c>
      <c r="C50" s="33"/>
      <c r="D50" s="33"/>
      <c r="E50" s="33"/>
      <c r="F50" s="33"/>
      <c r="G50" s="33"/>
      <c r="H50" s="33"/>
      <c r="I50" s="33"/>
      <c r="J50" s="36"/>
    </row>
    <row r="51" spans="2:10" s="8" customFormat="1" x14ac:dyDescent="0.25">
      <c r="B51" s="32" t="s">
        <v>93</v>
      </c>
      <c r="C51" s="39">
        <f ca="1">OFFSET(C51,MATCH($C$9,$B52:$B54,0),)</f>
        <v>0.45216128671953532</v>
      </c>
      <c r="D51" s="39">
        <f ca="1">OFFSET(D51,MATCH($C$9,$B52:$B54,0),)</f>
        <v>0.4491361246194599</v>
      </c>
      <c r="E51" s="39">
        <f ca="1">OFFSET(E51,MATCH($C$9,$B52:$B54,0),)</f>
        <v>0.4491361246194599</v>
      </c>
      <c r="F51" s="39">
        <f ca="1">OFFSET(F51,MATCH($C$9,$B52:$B54,0),)</f>
        <v>0.4491361246194599</v>
      </c>
      <c r="G51" s="39">
        <f t="shared" ref="G51:I51" ca="1" si="21">OFFSET(G51,MATCH($C$9,$B52:$B54,0),)</f>
        <v>0.4491361246194599</v>
      </c>
      <c r="H51" s="39">
        <f t="shared" ca="1" si="21"/>
        <v>0.4491361246194599</v>
      </c>
      <c r="I51" s="39">
        <f t="shared" ca="1" si="21"/>
        <v>0.4491361246194599</v>
      </c>
      <c r="J51" s="36"/>
    </row>
    <row r="52" spans="2:10" x14ac:dyDescent="0.25">
      <c r="B52" s="33" t="s">
        <v>94</v>
      </c>
      <c r="C52" s="34">
        <f>-C$14/C$12</f>
        <v>0.45216128671953532</v>
      </c>
      <c r="D52" s="34">
        <f>-D$14/D$12</f>
        <v>0.4491361246194599</v>
      </c>
      <c r="E52" s="36">
        <f>$E$53+$J52</f>
        <v>0.43913612461945989</v>
      </c>
      <c r="F52" s="36">
        <f>$E$53+$J52</f>
        <v>0.43913612461945989</v>
      </c>
      <c r="G52" s="36">
        <f t="shared" ref="G52:I52" si="22">$E$53+$J52</f>
        <v>0.43913612461945989</v>
      </c>
      <c r="H52" s="36">
        <f t="shared" si="22"/>
        <v>0.43913612461945989</v>
      </c>
      <c r="I52" s="36">
        <f t="shared" si="22"/>
        <v>0.43913612461945989</v>
      </c>
      <c r="J52" s="36">
        <v>-0.01</v>
      </c>
    </row>
    <row r="53" spans="2:10" x14ac:dyDescent="0.25">
      <c r="B53" s="33" t="s">
        <v>95</v>
      </c>
      <c r="C53" s="34">
        <f>-C$14/C$12</f>
        <v>0.45216128671953532</v>
      </c>
      <c r="D53" s="34">
        <f>-$D$14/$D$12</f>
        <v>0.4491361246194599</v>
      </c>
      <c r="E53" s="34">
        <f>-$D$14/$D$12</f>
        <v>0.4491361246194599</v>
      </c>
      <c r="F53" s="34">
        <f>-$D$14/$D$12</f>
        <v>0.4491361246194599</v>
      </c>
      <c r="G53" s="34">
        <f t="shared" ref="G53:I53" si="23">-$D$14/$D$12</f>
        <v>0.4491361246194599</v>
      </c>
      <c r="H53" s="34">
        <f t="shared" si="23"/>
        <v>0.4491361246194599</v>
      </c>
      <c r="I53" s="34">
        <f t="shared" si="23"/>
        <v>0.4491361246194599</v>
      </c>
      <c r="J53" s="36"/>
    </row>
    <row r="54" spans="2:10" x14ac:dyDescent="0.25">
      <c r="B54" s="33" t="s">
        <v>96</v>
      </c>
      <c r="C54" s="34">
        <f>-C$14/C$12</f>
        <v>0.45216128671953532</v>
      </c>
      <c r="D54" s="34">
        <f>-D$14/D$12</f>
        <v>0.4491361246194599</v>
      </c>
      <c r="E54" s="36">
        <f>E$53+$J54</f>
        <v>0.45913612461945991</v>
      </c>
      <c r="F54" s="36">
        <f>F$53+$J54</f>
        <v>0.45913612461945991</v>
      </c>
      <c r="G54" s="36">
        <f t="shared" ref="G54:I54" si="24">G$53+$J54</f>
        <v>0.45913612461945991</v>
      </c>
      <c r="H54" s="36">
        <f t="shared" si="24"/>
        <v>0.45913612461945991</v>
      </c>
      <c r="I54" s="36">
        <f t="shared" si="24"/>
        <v>0.45913612461945991</v>
      </c>
      <c r="J54" s="36">
        <v>0.01</v>
      </c>
    </row>
    <row r="55" spans="2:10" x14ac:dyDescent="0.25">
      <c r="B55" s="33" t="str">
        <f>B15 &amp; " as % of revenue"</f>
        <v>Contract services and subcontractor costs as % of revenue</v>
      </c>
      <c r="C55" s="33"/>
      <c r="D55" s="33"/>
      <c r="E55" s="33"/>
      <c r="F55" s="33"/>
      <c r="G55" s="33"/>
      <c r="H55" s="33"/>
      <c r="I55" s="33"/>
      <c r="J55" s="36"/>
    </row>
    <row r="56" spans="2:10" x14ac:dyDescent="0.25">
      <c r="B56" s="32" t="s">
        <v>93</v>
      </c>
      <c r="C56" s="39">
        <f ca="1">OFFSET(C56,MATCH($C$9,$B57:$B59,0),)</f>
        <v>9.9586730704791696E-2</v>
      </c>
      <c r="D56" s="39">
        <f ca="1">OFFSET(D56,MATCH($C$9,$B57:$B59,0),)</f>
        <v>0.12736725576246391</v>
      </c>
      <c r="E56" s="39">
        <f ca="1">OFFSET(E56,MATCH($C$9,$B57:$B59,0),)</f>
        <v>0.12736725576246391</v>
      </c>
      <c r="F56" s="39">
        <f ca="1">OFFSET(F56,MATCH($C$9,$B57:$B59,0),)</f>
        <v>0.12736725576246391</v>
      </c>
      <c r="G56" s="39">
        <f t="shared" ref="G56:I56" ca="1" si="25">OFFSET(G56,MATCH($C$9,$B57:$B59,0),)</f>
        <v>0.12736725576246391</v>
      </c>
      <c r="H56" s="39">
        <f t="shared" ca="1" si="25"/>
        <v>0.12736725576246391</v>
      </c>
      <c r="I56" s="39">
        <f t="shared" ca="1" si="25"/>
        <v>0.12736725576246391</v>
      </c>
      <c r="J56" s="36"/>
    </row>
    <row r="57" spans="2:10" x14ac:dyDescent="0.25">
      <c r="B57" s="33" t="s">
        <v>94</v>
      </c>
      <c r="C57" s="34">
        <f>-C$15/C$12</f>
        <v>9.9586730704791696E-2</v>
      </c>
      <c r="D57" s="34">
        <f>-$D$15/$D$12</f>
        <v>0.12736725576246391</v>
      </c>
      <c r="E57" s="36">
        <f>E$58+$J57</f>
        <v>0.11736725576246392</v>
      </c>
      <c r="F57" s="36">
        <f>F$58+$J57</f>
        <v>0.11736725576246392</v>
      </c>
      <c r="G57" s="36">
        <f t="shared" ref="G57:I57" si="26">G$58+$J57</f>
        <v>0.11736725576246392</v>
      </c>
      <c r="H57" s="36">
        <f t="shared" si="26"/>
        <v>0.11736725576246392</v>
      </c>
      <c r="I57" s="36">
        <f t="shared" si="26"/>
        <v>0.11736725576246392</v>
      </c>
      <c r="J57" s="36">
        <v>-0.01</v>
      </c>
    </row>
    <row r="58" spans="2:10" x14ac:dyDescent="0.25">
      <c r="B58" s="33" t="s">
        <v>95</v>
      </c>
      <c r="C58" s="34">
        <f>-C$15/C$12</f>
        <v>9.9586730704791696E-2</v>
      </c>
      <c r="D58" s="34">
        <f>-$D$15/$D$12</f>
        <v>0.12736725576246391</v>
      </c>
      <c r="E58" s="34">
        <f>-$D$15/$D$12</f>
        <v>0.12736725576246391</v>
      </c>
      <c r="F58" s="34">
        <f>-$D$15/$D$12</f>
        <v>0.12736725576246391</v>
      </c>
      <c r="G58" s="34">
        <f t="shared" ref="G58:I58" si="27">-$D$15/$D$12</f>
        <v>0.12736725576246391</v>
      </c>
      <c r="H58" s="34">
        <f t="shared" si="27"/>
        <v>0.12736725576246391</v>
      </c>
      <c r="I58" s="34">
        <f t="shared" si="27"/>
        <v>0.12736725576246391</v>
      </c>
      <c r="J58" s="36"/>
    </row>
    <row r="59" spans="2:10" x14ac:dyDescent="0.25">
      <c r="B59" s="33" t="s">
        <v>96</v>
      </c>
      <c r="C59" s="34">
        <f>-C$15/C$12</f>
        <v>9.9586730704791696E-2</v>
      </c>
      <c r="D59" s="34">
        <f>-D$15/D$12</f>
        <v>0.12736725576246391</v>
      </c>
      <c r="E59" s="36">
        <f>E$58+$J59</f>
        <v>0.13736725576246392</v>
      </c>
      <c r="F59" s="36">
        <f>F$58+$J59</f>
        <v>0.13736725576246392</v>
      </c>
      <c r="G59" s="36">
        <f t="shared" ref="G59:I59" si="28">G$58+$J59</f>
        <v>0.13736725576246392</v>
      </c>
      <c r="H59" s="36">
        <f t="shared" si="28"/>
        <v>0.13736725576246392</v>
      </c>
      <c r="I59" s="36">
        <f t="shared" si="28"/>
        <v>0.13736725576246392</v>
      </c>
      <c r="J59" s="36">
        <v>0.01</v>
      </c>
    </row>
    <row r="60" spans="2:10" x14ac:dyDescent="0.25">
      <c r="B60" s="33" t="str">
        <f>B16 &amp; " as % of revenue"</f>
        <v>Fuel and electricity costs as % of revenue</v>
      </c>
      <c r="C60" s="33"/>
      <c r="D60" s="33"/>
      <c r="E60" s="33"/>
      <c r="F60" s="33"/>
      <c r="G60" s="33"/>
      <c r="H60" s="33"/>
      <c r="I60" s="33"/>
      <c r="J60" s="36"/>
    </row>
    <row r="61" spans="2:10" x14ac:dyDescent="0.25">
      <c r="B61" s="32" t="s">
        <v>93</v>
      </c>
      <c r="C61" s="39">
        <f ca="1">OFFSET(C61,MATCH($C$9,$B62:$B64,0),)</f>
        <v>8.8730034625265269E-2</v>
      </c>
      <c r="D61" s="39">
        <f ca="1">OFFSET(D61,MATCH($C$9,$B62:$B64,0),)</f>
        <v>6.9367018542679779E-2</v>
      </c>
      <c r="E61" s="39">
        <f ca="1">OFFSET(E61,MATCH($C$9,$B62:$B64,0),)</f>
        <v>6.9367018542679779E-2</v>
      </c>
      <c r="F61" s="39">
        <f ca="1">OFFSET(F61,MATCH($C$9,$B62:$B64,0),)</f>
        <v>6.9367018542679779E-2</v>
      </c>
      <c r="G61" s="39">
        <f t="shared" ref="G61:I61" ca="1" si="29">OFFSET(G61,MATCH($C$9,$B62:$B64,0),)</f>
        <v>6.9367018542679779E-2</v>
      </c>
      <c r="H61" s="39">
        <f t="shared" ca="1" si="29"/>
        <v>6.9367018542679779E-2</v>
      </c>
      <c r="I61" s="39">
        <f t="shared" ca="1" si="29"/>
        <v>6.9367018542679779E-2</v>
      </c>
      <c r="J61" s="36"/>
    </row>
    <row r="62" spans="2:10" x14ac:dyDescent="0.25">
      <c r="B62" s="33" t="s">
        <v>94</v>
      </c>
      <c r="C62" s="34">
        <f>-C$16/C$12</f>
        <v>8.8730034625265269E-2</v>
      </c>
      <c r="D62" s="34">
        <f>-D$16/D$12</f>
        <v>6.9367018542679779E-2</v>
      </c>
      <c r="E62" s="36">
        <f>E$63+$J62</f>
        <v>5.9367018542679777E-2</v>
      </c>
      <c r="F62" s="36">
        <f>F$63+$J62</f>
        <v>5.9367018542679777E-2</v>
      </c>
      <c r="G62" s="36">
        <f t="shared" ref="G62:I62" si="30">G$63+$J62</f>
        <v>5.9367018542679777E-2</v>
      </c>
      <c r="H62" s="36">
        <f t="shared" si="30"/>
        <v>5.9367018542679777E-2</v>
      </c>
      <c r="I62" s="36">
        <f t="shared" si="30"/>
        <v>5.9367018542679777E-2</v>
      </c>
      <c r="J62" s="36">
        <v>-0.01</v>
      </c>
    </row>
    <row r="63" spans="2:10" x14ac:dyDescent="0.25">
      <c r="B63" s="33" t="s">
        <v>95</v>
      </c>
      <c r="C63" s="34">
        <f>-C$16/C$12</f>
        <v>8.8730034625265269E-2</v>
      </c>
      <c r="D63" s="34">
        <f>-$D$16/$D$12</f>
        <v>6.9367018542679779E-2</v>
      </c>
      <c r="E63" s="34">
        <f>-$D$16/$D$12</f>
        <v>6.9367018542679779E-2</v>
      </c>
      <c r="F63" s="34">
        <f>-$D$16/$D$12</f>
        <v>6.9367018542679779E-2</v>
      </c>
      <c r="G63" s="34">
        <f t="shared" ref="G63:I63" si="31">-$D$16/$D$12</f>
        <v>6.9367018542679779E-2</v>
      </c>
      <c r="H63" s="34">
        <f t="shared" si="31"/>
        <v>6.9367018542679779E-2</v>
      </c>
      <c r="I63" s="34">
        <f t="shared" si="31"/>
        <v>6.9367018542679779E-2</v>
      </c>
      <c r="J63" s="36"/>
    </row>
    <row r="64" spans="2:10" x14ac:dyDescent="0.25">
      <c r="B64" s="33" t="s">
        <v>96</v>
      </c>
      <c r="C64" s="34">
        <f>-C$16/C$12</f>
        <v>8.8730034625265269E-2</v>
      </c>
      <c r="D64" s="34">
        <f>-D$16/D$12</f>
        <v>6.9367018542679779E-2</v>
      </c>
      <c r="E64" s="36">
        <f>E$63+$J64</f>
        <v>7.9367018542679774E-2</v>
      </c>
      <c r="F64" s="36">
        <f>F$63+$J64</f>
        <v>7.9367018542679774E-2</v>
      </c>
      <c r="G64" s="36">
        <f t="shared" ref="G64:I64" si="32">G$63+$J64</f>
        <v>7.9367018542679774E-2</v>
      </c>
      <c r="H64" s="36">
        <f t="shared" si="32"/>
        <v>7.9367018542679774E-2</v>
      </c>
      <c r="I64" s="36">
        <f t="shared" si="32"/>
        <v>7.9367018542679774E-2</v>
      </c>
      <c r="J64" s="36">
        <v>0.01</v>
      </c>
    </row>
    <row r="65" spans="2:10" x14ac:dyDescent="0.25">
      <c r="B65" s="33" t="str">
        <f>B17 &amp; " as % of revenue"</f>
        <v>Repairs and maintenance costs as % of revenue</v>
      </c>
      <c r="C65" s="33"/>
      <c r="D65" s="33"/>
      <c r="E65" s="33"/>
      <c r="F65" s="33"/>
      <c r="G65" s="33"/>
      <c r="H65" s="33"/>
      <c r="I65" s="33"/>
      <c r="J65" s="36"/>
    </row>
    <row r="66" spans="2:10" x14ac:dyDescent="0.25">
      <c r="B66" s="32" t="s">
        <v>93</v>
      </c>
      <c r="C66" s="39">
        <f ca="1">OFFSET(C66,MATCH($C$9,$B67:$B69,0),)</f>
        <v>7.365129007036747E-2</v>
      </c>
      <c r="D66" s="39">
        <f ca="1">OFFSET(D66,MATCH($C$9,$B67:$B69,0),)</f>
        <v>6.9050725497173129E-2</v>
      </c>
      <c r="E66" s="39">
        <f ca="1">OFFSET(E66,MATCH($C$9,$B67:$B69,0),)</f>
        <v>6.9050725497173129E-2</v>
      </c>
      <c r="F66" s="39">
        <f ca="1">OFFSET(F66,MATCH($C$9,$B67:$B69,0),)</f>
        <v>6.9050725497173129E-2</v>
      </c>
      <c r="G66" s="39">
        <f t="shared" ref="G66:I66" ca="1" si="33">OFFSET(G66,MATCH($C$9,$B67:$B69,0),)</f>
        <v>6.9050725497173129E-2</v>
      </c>
      <c r="H66" s="39">
        <f t="shared" ca="1" si="33"/>
        <v>6.9050725497173129E-2</v>
      </c>
      <c r="I66" s="39">
        <f t="shared" ca="1" si="33"/>
        <v>6.9050725497173129E-2</v>
      </c>
      <c r="J66" s="36"/>
    </row>
    <row r="67" spans="2:10" x14ac:dyDescent="0.25">
      <c r="B67" s="33" t="s">
        <v>94</v>
      </c>
      <c r="C67" s="34">
        <f>-C$17/C$12</f>
        <v>7.365129007036747E-2</v>
      </c>
      <c r="D67" s="34">
        <f>-D$17/D$12</f>
        <v>6.9050725497173129E-2</v>
      </c>
      <c r="E67" s="36">
        <f ca="1">E$68+$J67</f>
        <v>5.9050725497173127E-2</v>
      </c>
      <c r="F67" s="36">
        <f ca="1">F$68+$J67</f>
        <v>5.9050725497173127E-2</v>
      </c>
      <c r="G67" s="36">
        <f t="shared" ref="G67:I67" ca="1" si="34">G$68+$J67</f>
        <v>5.9050725497173127E-2</v>
      </c>
      <c r="H67" s="36">
        <f t="shared" ca="1" si="34"/>
        <v>5.9050725497173127E-2</v>
      </c>
      <c r="I67" s="36">
        <f t="shared" ca="1" si="34"/>
        <v>5.9050725497173127E-2</v>
      </c>
      <c r="J67" s="36">
        <v>-0.01</v>
      </c>
    </row>
    <row r="68" spans="2:10" x14ac:dyDescent="0.25">
      <c r="B68" s="33" t="s">
        <v>95</v>
      </c>
      <c r="C68" s="34">
        <f t="shared" ref="C68:I69" si="35">-C$17/C$12</f>
        <v>7.365129007036747E-2</v>
      </c>
      <c r="D68" s="34">
        <f t="shared" si="35"/>
        <v>6.9050725497173129E-2</v>
      </c>
      <c r="E68" s="34">
        <f t="shared" ca="1" si="35"/>
        <v>6.9050725497173129E-2</v>
      </c>
      <c r="F68" s="34">
        <f t="shared" ca="1" si="35"/>
        <v>6.9050725497173129E-2</v>
      </c>
      <c r="G68" s="34">
        <f t="shared" ca="1" si="35"/>
        <v>6.9050725497173129E-2</v>
      </c>
      <c r="H68" s="34">
        <f t="shared" ca="1" si="35"/>
        <v>6.9050725497173129E-2</v>
      </c>
      <c r="I68" s="34">
        <f t="shared" ca="1" si="35"/>
        <v>6.9050725497173129E-2</v>
      </c>
      <c r="J68" s="36"/>
    </row>
    <row r="69" spans="2:10" x14ac:dyDescent="0.25">
      <c r="B69" s="33" t="s">
        <v>96</v>
      </c>
      <c r="C69" s="34">
        <f t="shared" si="35"/>
        <v>7.365129007036747E-2</v>
      </c>
      <c r="D69" s="34">
        <f t="shared" si="35"/>
        <v>6.9050725497173129E-2</v>
      </c>
      <c r="E69" s="36">
        <f ca="1">E$68+$J69</f>
        <v>7.9050725497173124E-2</v>
      </c>
      <c r="F69" s="36">
        <f ca="1">F$68+$J69</f>
        <v>7.9050725497173124E-2</v>
      </c>
      <c r="G69" s="36">
        <f t="shared" ref="G69:I69" ca="1" si="36">G$68+$J69</f>
        <v>7.9050725497173124E-2</v>
      </c>
      <c r="H69" s="36">
        <f t="shared" ca="1" si="36"/>
        <v>7.9050725497173124E-2</v>
      </c>
      <c r="I69" s="36">
        <f t="shared" ca="1" si="36"/>
        <v>7.9050725497173124E-2</v>
      </c>
      <c r="J69" s="36">
        <v>0.01</v>
      </c>
    </row>
    <row r="70" spans="2:10" x14ac:dyDescent="0.25">
      <c r="B70" s="33" t="str">
        <f>B18 &amp; " as % of revenue"</f>
        <v>Materials and consumables costs as % of revenue</v>
      </c>
      <c r="C70" s="33"/>
      <c r="D70" s="33"/>
      <c r="E70" s="33"/>
      <c r="F70" s="33"/>
      <c r="G70" s="33"/>
      <c r="H70" s="33"/>
      <c r="I70" s="33"/>
      <c r="J70" s="36"/>
    </row>
    <row r="71" spans="2:10" x14ac:dyDescent="0.25">
      <c r="B71" s="32" t="s">
        <v>93</v>
      </c>
      <c r="C71" s="39">
        <f ca="1">OFFSET(C71,MATCH($C$9,$B72:$B74,0),)</f>
        <v>2.3321791578241931E-2</v>
      </c>
      <c r="D71" s="39">
        <f ca="1">OFFSET(D71,MATCH($C$9,$B72:$B74,0),)</f>
        <v>1.7791483809749733E-2</v>
      </c>
      <c r="E71" s="39">
        <f ca="1">OFFSET(E71,MATCH($C$9,$B72:$B74,0),)</f>
        <v>1.7791483809749733E-2</v>
      </c>
      <c r="F71" s="39">
        <f ca="1">OFFSET(F71,MATCH($C$9,$B72:$B74,0),)</f>
        <v>1.7791483809749733E-2</v>
      </c>
      <c r="G71" s="39">
        <f t="shared" ref="G71:I71" ca="1" si="37">OFFSET(G71,MATCH($C$9,$B72:$B74,0),)</f>
        <v>1.7791483809749733E-2</v>
      </c>
      <c r="H71" s="39">
        <f t="shared" ca="1" si="37"/>
        <v>1.7791483809749733E-2</v>
      </c>
      <c r="I71" s="39">
        <f t="shared" ca="1" si="37"/>
        <v>1.7791483809749733E-2</v>
      </c>
      <c r="J71" s="36"/>
    </row>
    <row r="72" spans="2:10" x14ac:dyDescent="0.25">
      <c r="B72" s="33" t="s">
        <v>94</v>
      </c>
      <c r="C72" s="34">
        <f>-C$18/$C$12</f>
        <v>2.3321791578241931E-2</v>
      </c>
      <c r="D72" s="34">
        <f>-D$18/$C$12</f>
        <v>2.0104992739863731E-2</v>
      </c>
      <c r="E72" s="36">
        <f>E$73+$J72</f>
        <v>7.7914838097497326E-3</v>
      </c>
      <c r="F72" s="36">
        <f>F$73+$J72</f>
        <v>7.7914838097497326E-3</v>
      </c>
      <c r="G72" s="36">
        <f t="shared" ref="G72:I72" si="38">G$73+$J72</f>
        <v>7.7914838097497326E-3</v>
      </c>
      <c r="H72" s="36">
        <f t="shared" si="38"/>
        <v>7.7914838097497326E-3</v>
      </c>
      <c r="I72" s="36">
        <f t="shared" si="38"/>
        <v>7.7914838097497326E-3</v>
      </c>
      <c r="J72" s="36">
        <v>-0.01</v>
      </c>
    </row>
    <row r="73" spans="2:10" x14ac:dyDescent="0.25">
      <c r="B73" s="33" t="s">
        <v>95</v>
      </c>
      <c r="C73" s="34">
        <f>-C$18/$C$12</f>
        <v>2.3321791578241931E-2</v>
      </c>
      <c r="D73" s="34">
        <f>-$D$18/$D$12</f>
        <v>1.7791483809749733E-2</v>
      </c>
      <c r="E73" s="34">
        <f t="shared" ref="E73:I73" si="39">-$D$18/$D$12</f>
        <v>1.7791483809749733E-2</v>
      </c>
      <c r="F73" s="34">
        <f t="shared" si="39"/>
        <v>1.7791483809749733E-2</v>
      </c>
      <c r="G73" s="34">
        <f t="shared" si="39"/>
        <v>1.7791483809749733E-2</v>
      </c>
      <c r="H73" s="34">
        <f t="shared" si="39"/>
        <v>1.7791483809749733E-2</v>
      </c>
      <c r="I73" s="34">
        <f t="shared" si="39"/>
        <v>1.7791483809749733E-2</v>
      </c>
      <c r="J73" s="36"/>
    </row>
    <row r="74" spans="2:10" x14ac:dyDescent="0.25">
      <c r="B74" s="33" t="s">
        <v>96</v>
      </c>
      <c r="C74" s="34">
        <f>-C$18/$C$12</f>
        <v>2.3321791578241931E-2</v>
      </c>
      <c r="D74" s="34">
        <f>-D$18/$C$12</f>
        <v>2.0104992739863731E-2</v>
      </c>
      <c r="E74" s="36">
        <f>E$73+$J74</f>
        <v>2.7791483809749731E-2</v>
      </c>
      <c r="F74" s="36">
        <f>F$73+$J74</f>
        <v>2.7791483809749731E-2</v>
      </c>
      <c r="G74" s="36">
        <f t="shared" ref="G74:I74" si="40">G$73+$J74</f>
        <v>2.7791483809749731E-2</v>
      </c>
      <c r="H74" s="36">
        <f t="shared" si="40"/>
        <v>2.7791483809749731E-2</v>
      </c>
      <c r="I74" s="36">
        <f t="shared" si="40"/>
        <v>2.7791483809749731E-2</v>
      </c>
      <c r="J74" s="36">
        <v>0.01</v>
      </c>
    </row>
    <row r="75" spans="2:10" x14ac:dyDescent="0.25">
      <c r="B75" s="33" t="str">
        <f>B19 &amp; " as % of revenue"</f>
        <v>Insurance premiums and accident claims as % of revenue</v>
      </c>
      <c r="C75" s="33"/>
      <c r="D75" s="33"/>
      <c r="E75" s="33"/>
      <c r="F75" s="33"/>
      <c r="G75" s="33"/>
      <c r="H75" s="33"/>
      <c r="I75" s="33"/>
      <c r="J75" s="36"/>
    </row>
    <row r="76" spans="2:10" s="8" customFormat="1" x14ac:dyDescent="0.25">
      <c r="B76" s="32" t="s">
        <v>93</v>
      </c>
      <c r="C76" s="39">
        <f ca="1">OFFSET(C76,MATCH($C$9,$B77:$B79,0),)</f>
        <v>2.2807997319334299E-2</v>
      </c>
      <c r="D76" s="39">
        <f ca="1">OFFSET(D76,MATCH($C$9,$B77:$B79,0),)</f>
        <v>2.4235954611947969E-2</v>
      </c>
      <c r="E76" s="39">
        <f ca="1">OFFSET(E76,MATCH($C$9,$B77:$B79,0),)</f>
        <v>2.4235954611947969E-2</v>
      </c>
      <c r="F76" s="39">
        <f ca="1">OFFSET(F76,MATCH($C$9,$B77:$B79,0),)</f>
        <v>2.4235954611947969E-2</v>
      </c>
      <c r="G76" s="39">
        <f t="shared" ref="G76:I76" ca="1" si="41">OFFSET(G76,MATCH($C$9,$B77:$B79,0),)</f>
        <v>2.4235954611947969E-2</v>
      </c>
      <c r="H76" s="39">
        <f t="shared" ca="1" si="41"/>
        <v>2.4235954611947969E-2</v>
      </c>
      <c r="I76" s="39">
        <f t="shared" ca="1" si="41"/>
        <v>2.4235954611947969E-2</v>
      </c>
      <c r="J76" s="36"/>
    </row>
    <row r="77" spans="2:10" x14ac:dyDescent="0.25">
      <c r="B77" s="33" t="s">
        <v>94</v>
      </c>
      <c r="C77" s="34">
        <f>-C$19/C$12</f>
        <v>2.2807997319334299E-2</v>
      </c>
      <c r="D77" s="34">
        <f>-D$19/D$12</f>
        <v>2.4235954611947969E-2</v>
      </c>
      <c r="E77" s="36">
        <f ca="1">E$78+$J77</f>
        <v>1.4235954611947968E-2</v>
      </c>
      <c r="F77" s="36">
        <f ca="1">F$78+$J77</f>
        <v>1.4235954611947968E-2</v>
      </c>
      <c r="G77" s="36">
        <f t="shared" ref="G77:I77" ca="1" si="42">G$78+$J77</f>
        <v>1.4235954611947968E-2</v>
      </c>
      <c r="H77" s="36">
        <f t="shared" ca="1" si="42"/>
        <v>1.4235954611947968E-2</v>
      </c>
      <c r="I77" s="36">
        <f t="shared" ca="1" si="42"/>
        <v>1.4235954611947968E-2</v>
      </c>
      <c r="J77" s="36">
        <v>-0.01</v>
      </c>
    </row>
    <row r="78" spans="2:10" x14ac:dyDescent="0.25">
      <c r="B78" s="33" t="s">
        <v>95</v>
      </c>
      <c r="C78" s="34">
        <f>-C$19/C$12</f>
        <v>2.2807997319334299E-2</v>
      </c>
      <c r="D78" s="34">
        <f>-D$19/D$12</f>
        <v>2.4235954611947969E-2</v>
      </c>
      <c r="E78" s="34">
        <f t="shared" ref="E78:I78" ca="1" si="43">-E$19/E$12</f>
        <v>2.4235954611947969E-2</v>
      </c>
      <c r="F78" s="34">
        <f t="shared" ca="1" si="43"/>
        <v>2.4235954611947969E-2</v>
      </c>
      <c r="G78" s="34">
        <f t="shared" ca="1" si="43"/>
        <v>2.4235954611947969E-2</v>
      </c>
      <c r="H78" s="34">
        <f t="shared" ca="1" si="43"/>
        <v>2.4235954611947969E-2</v>
      </c>
      <c r="I78" s="34">
        <f t="shared" ca="1" si="43"/>
        <v>2.4235954611947969E-2</v>
      </c>
      <c r="J78" s="36"/>
    </row>
    <row r="79" spans="2:10" x14ac:dyDescent="0.25">
      <c r="B79" s="33" t="s">
        <v>96</v>
      </c>
      <c r="C79" s="34">
        <f>-C$19/C$12</f>
        <v>2.2807997319334299E-2</v>
      </c>
      <c r="D79" s="34">
        <f>-D$19/D$12</f>
        <v>2.4235954611947969E-2</v>
      </c>
      <c r="E79" s="36">
        <f ca="1">E$78+$J79</f>
        <v>3.423595461194797E-2</v>
      </c>
      <c r="F79" s="36">
        <f ca="1">F$78+$J79</f>
        <v>3.423595461194797E-2</v>
      </c>
      <c r="G79" s="36">
        <f t="shared" ref="G79:I79" ca="1" si="44">G$78+$J79</f>
        <v>3.423595461194797E-2</v>
      </c>
      <c r="H79" s="36">
        <f t="shared" ca="1" si="44"/>
        <v>3.423595461194797E-2</v>
      </c>
      <c r="I79" s="36">
        <f t="shared" ca="1" si="44"/>
        <v>3.423595461194797E-2</v>
      </c>
      <c r="J79" s="36">
        <v>0.01</v>
      </c>
    </row>
    <row r="80" spans="2:10" x14ac:dyDescent="0.25">
      <c r="B80" s="33" t="str">
        <f>"general operating costs" &amp; " as % of revenue"</f>
        <v>general operating costs as % of revenue</v>
      </c>
      <c r="C80" s="33"/>
      <c r="D80" s="33"/>
      <c r="E80" s="33"/>
      <c r="F80" s="33"/>
      <c r="G80" s="33"/>
      <c r="H80" s="33"/>
      <c r="I80" s="33"/>
      <c r="J80" s="36"/>
    </row>
    <row r="81" spans="2:10" x14ac:dyDescent="0.25">
      <c r="B81" s="32" t="s">
        <v>93</v>
      </c>
      <c r="C81" s="39">
        <f ca="1">OFFSET(C81,MATCH($C$9,$B82:$B84,0),)</f>
        <v>8.5312185859488437E-2</v>
      </c>
      <c r="D81" s="39">
        <f ca="1">OFFSET(D81,MATCH($C$9,$B82:$B84,0),)</f>
        <v>9.0321432807496133E-2</v>
      </c>
      <c r="E81" s="39">
        <f ca="1">OFFSET(E81,MATCH($C$9,$B82:$B84,0),)</f>
        <v>9.0321432807496133E-2</v>
      </c>
      <c r="F81" s="39">
        <f ca="1">OFFSET(F81,MATCH($C$9,$B82:$B84,0),)</f>
        <v>9.0321432807496133E-2</v>
      </c>
      <c r="G81" s="39">
        <f t="shared" ref="G81:I81" ca="1" si="45">OFFSET(G81,MATCH($C$9,$B82:$B84,0),)</f>
        <v>9.0321432807496133E-2</v>
      </c>
      <c r="H81" s="39">
        <f t="shared" ca="1" si="45"/>
        <v>9.0321432807496133E-2</v>
      </c>
      <c r="I81" s="39">
        <f t="shared" ca="1" si="45"/>
        <v>9.0321432807496133E-2</v>
      </c>
      <c r="J81" s="36"/>
    </row>
    <row r="82" spans="2:10" x14ac:dyDescent="0.25">
      <c r="B82" s="33" t="s">
        <v>94</v>
      </c>
      <c r="C82" s="34">
        <f>-SUM(C$20:C$28)/C$12</f>
        <v>8.5312185859488437E-2</v>
      </c>
      <c r="D82" s="34">
        <f>-SUM(D$20:D$28)/D$12</f>
        <v>9.0321432807496133E-2</v>
      </c>
      <c r="E82" s="36">
        <f>E$83+$J82</f>
        <v>8.0321432807496138E-2</v>
      </c>
      <c r="F82" s="36">
        <f>F$83+$J82</f>
        <v>8.0321432807496138E-2</v>
      </c>
      <c r="G82" s="36">
        <f t="shared" ref="G82:I82" si="46">G$83+$J82</f>
        <v>8.0321432807496138E-2</v>
      </c>
      <c r="H82" s="36">
        <f t="shared" si="46"/>
        <v>8.0321432807496138E-2</v>
      </c>
      <c r="I82" s="36">
        <f t="shared" si="46"/>
        <v>8.0321432807496138E-2</v>
      </c>
      <c r="J82" s="36">
        <v>-0.01</v>
      </c>
    </row>
    <row r="83" spans="2:10" x14ac:dyDescent="0.25">
      <c r="B83" s="33" t="s">
        <v>95</v>
      </c>
      <c r="C83" s="34">
        <f>-SUM(C$20:C$28)/C$12</f>
        <v>8.5312185859488437E-2</v>
      </c>
      <c r="D83" s="34">
        <f>-SUM($D$20:$D$28)/$D$12</f>
        <v>9.0321432807496133E-2</v>
      </c>
      <c r="E83" s="34">
        <f>-SUM($D$20:$D$28)/$D$12</f>
        <v>9.0321432807496133E-2</v>
      </c>
      <c r="F83" s="34">
        <f>-SUM($D$20:$D$28)/$D$12</f>
        <v>9.0321432807496133E-2</v>
      </c>
      <c r="G83" s="34">
        <f t="shared" ref="G83:I83" si="47">-SUM($D$20:$D$28)/$D$12</f>
        <v>9.0321432807496133E-2</v>
      </c>
      <c r="H83" s="34">
        <f t="shared" si="47"/>
        <v>9.0321432807496133E-2</v>
      </c>
      <c r="I83" s="34">
        <f t="shared" si="47"/>
        <v>9.0321432807496133E-2</v>
      </c>
      <c r="J83" s="36"/>
    </row>
    <row r="84" spans="2:10" x14ac:dyDescent="0.25">
      <c r="B84" s="33" t="s">
        <v>96</v>
      </c>
      <c r="C84" s="34">
        <f>-SUM(C$20:C$28)/C$12</f>
        <v>8.5312185859488437E-2</v>
      </c>
      <c r="D84" s="34">
        <f>-SUM(D$20:D$28)/D$12</f>
        <v>9.0321432807496133E-2</v>
      </c>
      <c r="E84" s="36">
        <f>E$83+$J84</f>
        <v>0.10032143280749613</v>
      </c>
      <c r="F84" s="36">
        <f>F$83+$J84</f>
        <v>0.10032143280749613</v>
      </c>
      <c r="G84" s="36">
        <f t="shared" ref="G84:I84" si="48">G$83+$J84</f>
        <v>0.10032143280749613</v>
      </c>
      <c r="H84" s="36">
        <f t="shared" si="48"/>
        <v>0.10032143280749613</v>
      </c>
      <c r="I84" s="36">
        <f t="shared" si="48"/>
        <v>0.10032143280749613</v>
      </c>
      <c r="J84" s="36">
        <v>0.01</v>
      </c>
    </row>
    <row r="85" spans="2:10" x14ac:dyDescent="0.25">
      <c r="B85" s="33" t="str">
        <f>B32 &amp; " as % of revenue"</f>
        <v>Depreciation and amortisation as % of revenue</v>
      </c>
      <c r="C85" s="34"/>
      <c r="D85" s="34"/>
      <c r="E85" s="36"/>
      <c r="F85" s="36"/>
      <c r="G85" s="36"/>
      <c r="H85" s="36"/>
      <c r="I85" s="36"/>
      <c r="J85" s="36"/>
    </row>
    <row r="86" spans="2:10" x14ac:dyDescent="0.25">
      <c r="B86" s="32" t="s">
        <v>93</v>
      </c>
      <c r="C86" s="39">
        <f ca="1">OFFSET(C86,MATCH($C$9,$B87:$B89,0),)</f>
        <v>8.2296436948508869E-2</v>
      </c>
      <c r="D86" s="39">
        <f ca="1">OFFSET(D86,MATCH($C$9,$B87:$B89,0),)</f>
        <v>7.8994188115288813E-2</v>
      </c>
      <c r="E86" s="39">
        <f ca="1">OFFSET(E86,MATCH($C$9,$B87:$B89,0),)</f>
        <v>8.3458100092614132E-2</v>
      </c>
      <c r="F86" s="39">
        <f ca="1">OFFSET(F86,MATCH($C$9,$B87:$B89,0),)</f>
        <v>8.8203665137789655E-2</v>
      </c>
      <c r="G86" s="39">
        <f t="shared" ref="G86:I86" ca="1" si="49">OFFSET(G86,MATCH($C$9,$B87:$B89,0),)</f>
        <v>9.212079344876882E-2</v>
      </c>
      <c r="H86" s="39">
        <f t="shared" ca="1" si="49"/>
        <v>9.5287399952282054E-2</v>
      </c>
      <c r="I86" s="39">
        <f t="shared" ca="1" si="49"/>
        <v>9.7756483923284163E-2</v>
      </c>
      <c r="J86" s="36"/>
    </row>
    <row r="87" spans="2:10" x14ac:dyDescent="0.25">
      <c r="B87" s="33" t="s">
        <v>94</v>
      </c>
      <c r="C87" s="34">
        <f>-C$32/$C$12</f>
        <v>8.2296436948508869E-2</v>
      </c>
      <c r="D87" s="34">
        <f>-D$32/D$12</f>
        <v>7.8994188115288813E-2</v>
      </c>
      <c r="E87" s="36">
        <f>E$88+$J87</f>
        <v>7.3458100092614137E-2</v>
      </c>
      <c r="F87" s="36">
        <f ca="1">F$88+$J87</f>
        <v>7.820366513778966E-2</v>
      </c>
      <c r="G87" s="36">
        <f t="shared" ref="G87:I87" ca="1" si="50">G$88+$J87</f>
        <v>8.2120793448768825E-2</v>
      </c>
      <c r="H87" s="36">
        <f t="shared" ca="1" si="50"/>
        <v>8.5287399952282059E-2</v>
      </c>
      <c r="I87" s="36">
        <f t="shared" ca="1" si="50"/>
        <v>8.7756483923284168E-2</v>
      </c>
      <c r="J87" s="36">
        <v>-0.01</v>
      </c>
    </row>
    <row r="88" spans="2:10" x14ac:dyDescent="0.25">
      <c r="B88" s="33" t="s">
        <v>95</v>
      </c>
      <c r="C88" s="34">
        <f>-C$32/C$12</f>
        <v>8.2296436948508869E-2</v>
      </c>
      <c r="D88" s="34">
        <f>-D$32/D$12</f>
        <v>7.8994188115288813E-2</v>
      </c>
      <c r="E88" s="34">
        <f>-E$32/E$12</f>
        <v>8.3458100092614132E-2</v>
      </c>
      <c r="F88" s="34">
        <f ca="1">-F$32/F$12</f>
        <v>8.8203665137789655E-2</v>
      </c>
      <c r="G88" s="34">
        <f t="shared" ref="G88:I88" ca="1" si="51">-G$32/G$12</f>
        <v>9.212079344876882E-2</v>
      </c>
      <c r="H88" s="34">
        <f t="shared" ca="1" si="51"/>
        <v>9.5287399952282054E-2</v>
      </c>
      <c r="I88" s="34">
        <f t="shared" ca="1" si="51"/>
        <v>9.7756483923284163E-2</v>
      </c>
      <c r="J88" s="36"/>
    </row>
    <row r="89" spans="2:10" x14ac:dyDescent="0.25">
      <c r="B89" s="33" t="s">
        <v>96</v>
      </c>
      <c r="C89" s="34">
        <f>-C$32/$C$12</f>
        <v>8.2296436948508869E-2</v>
      </c>
      <c r="D89" s="34">
        <f>-D$32/D$12</f>
        <v>7.8994188115288813E-2</v>
      </c>
      <c r="E89" s="36">
        <f>E$88+$J89</f>
        <v>9.3458100092614127E-2</v>
      </c>
      <c r="F89" s="36">
        <f ca="1">F$88+$J89</f>
        <v>9.820366513778965E-2</v>
      </c>
      <c r="G89" s="36">
        <f t="shared" ref="G89:I89" ca="1" si="52">G$88+$J89</f>
        <v>0.10212079344876882</v>
      </c>
      <c r="H89" s="36">
        <f t="shared" ca="1" si="52"/>
        <v>0.10528739995228205</v>
      </c>
      <c r="I89" s="36">
        <f t="shared" ca="1" si="52"/>
        <v>0.10775648392328416</v>
      </c>
      <c r="J89" s="36">
        <v>0.01</v>
      </c>
    </row>
    <row r="90" spans="2:10" x14ac:dyDescent="0.25">
      <c r="B90" s="33" t="str">
        <f>B36 &amp; " as % of revenue"</f>
        <v>Investments income as % of revenue</v>
      </c>
      <c r="C90" s="34"/>
      <c r="D90" s="34"/>
      <c r="E90" s="36"/>
      <c r="F90" s="36"/>
      <c r="G90" s="36"/>
      <c r="H90" s="36"/>
      <c r="I90" s="36"/>
      <c r="J90" s="36"/>
    </row>
    <row r="91" spans="2:10" x14ac:dyDescent="0.25">
      <c r="B91" s="32" t="s">
        <v>93</v>
      </c>
      <c r="C91" s="40">
        <f ca="1">OFFSET(C$91,MATCH($C$9,$B92:$B94,0),0)</f>
        <v>7.0814252205964479E-3</v>
      </c>
      <c r="D91" s="40">
        <f ca="1">OFFSET(D$91,MATCH($C$9,$B92:$B94,0),0)</f>
        <v>4.0327363302099387E-3</v>
      </c>
      <c r="E91" s="40">
        <f ca="1">OFFSET(E$91,MATCH($C$9,$B92:$B94,0),0)</f>
        <v>4.0327363302099387E-3</v>
      </c>
      <c r="F91" s="40">
        <f ca="1">OFFSET(F$91,MATCH($C$9,$B92:$B94,0),0)</f>
        <v>4.0327363302099387E-3</v>
      </c>
      <c r="G91" s="40">
        <f t="shared" ref="G91:I91" ca="1" si="53">OFFSET(G$91,MATCH($C$9,$B92:$B94,0),0)</f>
        <v>4.0327363302099387E-3</v>
      </c>
      <c r="H91" s="40">
        <f t="shared" ca="1" si="53"/>
        <v>4.0327363302099387E-3</v>
      </c>
      <c r="I91" s="40">
        <f t="shared" ca="1" si="53"/>
        <v>4.0327363302099387E-3</v>
      </c>
      <c r="J91" s="36"/>
    </row>
    <row r="92" spans="2:10" x14ac:dyDescent="0.25">
      <c r="B92" s="33" t="s">
        <v>94</v>
      </c>
      <c r="C92" s="34">
        <f>C$36/C$12</f>
        <v>7.0814252205964479E-3</v>
      </c>
      <c r="D92" s="34">
        <f>D$36/D$12</f>
        <v>4.0327363302099387E-3</v>
      </c>
      <c r="E92" s="36">
        <f>E93+$J$92</f>
        <v>6.0327363302099387E-3</v>
      </c>
      <c r="F92" s="36">
        <f>F93+$J$92</f>
        <v>6.0327363302099387E-3</v>
      </c>
      <c r="G92" s="36">
        <f t="shared" ref="G92:I92" si="54">G93+$J$92</f>
        <v>6.0327363302099387E-3</v>
      </c>
      <c r="H92" s="36">
        <f t="shared" si="54"/>
        <v>6.0327363302099387E-3</v>
      </c>
      <c r="I92" s="36">
        <f t="shared" si="54"/>
        <v>6.0327363302099387E-3</v>
      </c>
      <c r="J92" s="36">
        <v>2E-3</v>
      </c>
    </row>
    <row r="93" spans="2:10" x14ac:dyDescent="0.25">
      <c r="B93" s="33" t="s">
        <v>95</v>
      </c>
      <c r="C93" s="34">
        <f>C$36/C$12</f>
        <v>7.0814252205964479E-3</v>
      </c>
      <c r="D93" s="34">
        <f>$D$36/$D$12</f>
        <v>4.0327363302099387E-3</v>
      </c>
      <c r="E93" s="34">
        <f>$D$36/$D$12</f>
        <v>4.0327363302099387E-3</v>
      </c>
      <c r="F93" s="34">
        <f>$D$36/$D$12</f>
        <v>4.0327363302099387E-3</v>
      </c>
      <c r="G93" s="34">
        <f t="shared" ref="G93:I93" si="55">$D$36/$D$12</f>
        <v>4.0327363302099387E-3</v>
      </c>
      <c r="H93" s="34">
        <f t="shared" si="55"/>
        <v>4.0327363302099387E-3</v>
      </c>
      <c r="I93" s="34">
        <f t="shared" si="55"/>
        <v>4.0327363302099387E-3</v>
      </c>
      <c r="J93" s="36"/>
    </row>
    <row r="94" spans="2:10" x14ac:dyDescent="0.25">
      <c r="B94" s="33" t="s">
        <v>96</v>
      </c>
      <c r="C94" s="34">
        <f>C$36/C$12</f>
        <v>7.0814252205964479E-3</v>
      </c>
      <c r="D94" s="34">
        <f>D$36/D$12</f>
        <v>4.0327363302099387E-3</v>
      </c>
      <c r="E94" s="36">
        <f>E$93+$J94</f>
        <v>2.0327363302099387E-3</v>
      </c>
      <c r="F94" s="36">
        <f>F$93+$J94</f>
        <v>2.0327363302099387E-3</v>
      </c>
      <c r="G94" s="36">
        <f t="shared" ref="G94:I94" si="56">G$93+$J94</f>
        <v>2.0327363302099387E-3</v>
      </c>
      <c r="H94" s="36">
        <f t="shared" si="56"/>
        <v>2.0327363302099387E-3</v>
      </c>
      <c r="I94" s="36">
        <f t="shared" si="56"/>
        <v>2.0327363302099387E-3</v>
      </c>
      <c r="J94" s="36">
        <v>-2E-3</v>
      </c>
    </row>
    <row r="95" spans="2:10" x14ac:dyDescent="0.25">
      <c r="B95" s="33" t="str">
        <f>B37 &amp; " as % of revenue"</f>
        <v>Finance costs as % of revenue</v>
      </c>
      <c r="C95" s="34"/>
      <c r="D95" s="34"/>
      <c r="E95" s="36"/>
      <c r="F95" s="36"/>
      <c r="G95" s="36"/>
      <c r="H95" s="36"/>
      <c r="I95" s="36"/>
      <c r="J95" s="36"/>
    </row>
    <row r="96" spans="2:10" x14ac:dyDescent="0.25">
      <c r="B96" s="32" t="s">
        <v>93</v>
      </c>
      <c r="C96" s="40">
        <f ca="1">OFFSET(C$96,MATCH($C$9,$B97:$B99,0),0)</f>
        <v>8.6898246397855462E-3</v>
      </c>
      <c r="D96" s="40">
        <f ca="1">OFFSET(D$96,MATCH($C$9,$B97:$B99,0),0)</f>
        <v>1.0437670501719842E-2</v>
      </c>
      <c r="E96" s="40">
        <f ca="1">OFFSET(E$96,MATCH($C$9,$B97:$B99,0),0)</f>
        <v>1.0437670501719842E-2</v>
      </c>
      <c r="F96" s="40">
        <f ca="1">OFFSET(F$96,MATCH($C$9,$B97:$B99,0),0)</f>
        <v>1.0437670501719842E-2</v>
      </c>
      <c r="G96" s="40">
        <f t="shared" ref="G96:I96" ca="1" si="57">OFFSET(G$96,MATCH($C$9,$B97:$B99,0),0)</f>
        <v>1.0437670501719842E-2</v>
      </c>
      <c r="H96" s="40">
        <f t="shared" ca="1" si="57"/>
        <v>1.0437670501719842E-2</v>
      </c>
      <c r="I96" s="40">
        <f t="shared" ca="1" si="57"/>
        <v>1.0437670501719842E-2</v>
      </c>
      <c r="J96" s="36"/>
    </row>
    <row r="97" spans="2:10" x14ac:dyDescent="0.25">
      <c r="B97" s="33" t="s">
        <v>94</v>
      </c>
      <c r="C97" s="34">
        <f>-C$37/C$12</f>
        <v>8.6898246397855462E-3</v>
      </c>
      <c r="D97" s="34">
        <f>-D$37/D$12</f>
        <v>1.0437670501719842E-2</v>
      </c>
      <c r="E97" s="34">
        <f>E98+$J$97</f>
        <v>8.4376705017198423E-3</v>
      </c>
      <c r="F97" s="34">
        <f>F98+$J$97</f>
        <v>8.4376705017198423E-3</v>
      </c>
      <c r="G97" s="34">
        <f t="shared" ref="G97:I97" si="58">G98+$J$97</f>
        <v>8.4376705017198423E-3</v>
      </c>
      <c r="H97" s="34">
        <f t="shared" si="58"/>
        <v>8.4376705017198423E-3</v>
      </c>
      <c r="I97" s="34">
        <f t="shared" si="58"/>
        <v>8.4376705017198423E-3</v>
      </c>
      <c r="J97" s="36">
        <v>-2E-3</v>
      </c>
    </row>
    <row r="98" spans="2:10" x14ac:dyDescent="0.25">
      <c r="B98" s="33" t="s">
        <v>95</v>
      </c>
      <c r="C98" s="34">
        <f>-C$37/C$12</f>
        <v>8.6898246397855462E-3</v>
      </c>
      <c r="D98" s="34">
        <f>-$D$37/$D$12</f>
        <v>1.0437670501719842E-2</v>
      </c>
      <c r="E98" s="34">
        <f>-$D$37/$D$12</f>
        <v>1.0437670501719842E-2</v>
      </c>
      <c r="F98" s="34">
        <f>-$D$37/$D$12</f>
        <v>1.0437670501719842E-2</v>
      </c>
      <c r="G98" s="34">
        <f t="shared" ref="G98:I98" si="59">-$D$37/$D$12</f>
        <v>1.0437670501719842E-2</v>
      </c>
      <c r="H98" s="34">
        <f t="shared" si="59"/>
        <v>1.0437670501719842E-2</v>
      </c>
      <c r="I98" s="34">
        <f t="shared" si="59"/>
        <v>1.0437670501719842E-2</v>
      </c>
      <c r="J98" s="36"/>
    </row>
    <row r="99" spans="2:10" x14ac:dyDescent="0.25">
      <c r="B99" s="33" t="s">
        <v>96</v>
      </c>
      <c r="C99" s="34">
        <f>-C$37/C$12</f>
        <v>8.6898246397855462E-3</v>
      </c>
      <c r="D99" s="34">
        <f>-D$37/D$12</f>
        <v>1.0437670501719842E-2</v>
      </c>
      <c r="E99" s="34">
        <f>$E98+$J$99</f>
        <v>1.2437670501719842E-2</v>
      </c>
      <c r="F99" s="34">
        <f t="shared" ref="F99:I99" si="60">$E98+$J$99</f>
        <v>1.2437670501719842E-2</v>
      </c>
      <c r="G99" s="34">
        <f t="shared" si="60"/>
        <v>1.2437670501719842E-2</v>
      </c>
      <c r="H99" s="34">
        <f t="shared" si="60"/>
        <v>1.2437670501719842E-2</v>
      </c>
      <c r="I99" s="34">
        <f t="shared" si="60"/>
        <v>1.2437670501719842E-2</v>
      </c>
      <c r="J99" s="36">
        <v>2E-3</v>
      </c>
    </row>
    <row r="100" spans="2:10" x14ac:dyDescent="0.25">
      <c r="B100" s="33" t="str">
        <f>B38 &amp; " as % of revenue"</f>
        <v>Share of results of associates and joint ventures as % of revenue</v>
      </c>
      <c r="C100" s="34"/>
      <c r="D100" s="34"/>
      <c r="E100" s="34"/>
      <c r="F100" s="34"/>
      <c r="G100" s="34"/>
      <c r="H100" s="34"/>
      <c r="I100" s="34"/>
      <c r="J100" s="36"/>
    </row>
    <row r="101" spans="2:10" x14ac:dyDescent="0.25">
      <c r="B101" s="32" t="s">
        <v>93</v>
      </c>
      <c r="C101" s="40">
        <f ca="1">OFFSET(C$101,MATCH($C$9,$B102:$B104,0),0)</f>
        <v>4.0209985479727468E-4</v>
      </c>
      <c r="D101" s="40">
        <f ca="1">OFFSET(D$101,MATCH($C$9,$B102:$B104,0),0)</f>
        <v>1.5814652275333095E-4</v>
      </c>
      <c r="E101" s="40">
        <f ca="1">OFFSET(E$101,MATCH($C$9,$B102:$B104,0),0)</f>
        <v>1.5814652275333095E-4</v>
      </c>
      <c r="F101" s="40">
        <f ca="1">OFFSET(F$101,MATCH($C$9,$B102:$B104,0),0)</f>
        <v>1.5814652275333095E-4</v>
      </c>
      <c r="G101" s="40">
        <f t="shared" ref="G101:I101" ca="1" si="61">OFFSET(G$101,MATCH($C$9,$B102:$B104,0),0)</f>
        <v>1.5814652275333095E-4</v>
      </c>
      <c r="H101" s="40">
        <f t="shared" ca="1" si="61"/>
        <v>1.5814652275333095E-4</v>
      </c>
      <c r="I101" s="40">
        <f t="shared" ca="1" si="61"/>
        <v>1.5814652275333095E-4</v>
      </c>
      <c r="J101" s="36"/>
    </row>
    <row r="102" spans="2:10" x14ac:dyDescent="0.25">
      <c r="B102" s="33" t="s">
        <v>94</v>
      </c>
      <c r="C102" s="34">
        <f>C$38/C$12</f>
        <v>4.0209985479727468E-4</v>
      </c>
      <c r="D102" s="34">
        <f>D$38/D$12</f>
        <v>1.5814652275333095E-4</v>
      </c>
      <c r="E102" s="34">
        <f>E103+$J102</f>
        <v>3.5814652275333096E-4</v>
      </c>
      <c r="F102" s="34">
        <f>F103+$J102</f>
        <v>3.5814652275333096E-4</v>
      </c>
      <c r="G102" s="34">
        <f t="shared" ref="G102:I102" si="62">G103+$J102</f>
        <v>3.5814652275333096E-4</v>
      </c>
      <c r="H102" s="34">
        <f t="shared" si="62"/>
        <v>3.5814652275333096E-4</v>
      </c>
      <c r="I102" s="34">
        <f t="shared" si="62"/>
        <v>3.5814652275333096E-4</v>
      </c>
      <c r="J102" s="36">
        <v>2.0000000000000001E-4</v>
      </c>
    </row>
    <row r="103" spans="2:10" x14ac:dyDescent="0.25">
      <c r="B103" s="33" t="s">
        <v>95</v>
      </c>
      <c r="C103" s="34">
        <f>C$38/C$12</f>
        <v>4.0209985479727468E-4</v>
      </c>
      <c r="D103" s="34">
        <f>$D38/$D$12</f>
        <v>1.5814652275333095E-4</v>
      </c>
      <c r="E103" s="34">
        <f>$D38/$D$12</f>
        <v>1.5814652275333095E-4</v>
      </c>
      <c r="F103" s="34">
        <f>$D38/$D$12</f>
        <v>1.5814652275333095E-4</v>
      </c>
      <c r="G103" s="34">
        <f t="shared" ref="G103:I103" si="63">$D38/$D$12</f>
        <v>1.5814652275333095E-4</v>
      </c>
      <c r="H103" s="34">
        <f t="shared" si="63"/>
        <v>1.5814652275333095E-4</v>
      </c>
      <c r="I103" s="34">
        <f t="shared" si="63"/>
        <v>1.5814652275333095E-4</v>
      </c>
      <c r="J103" s="36"/>
    </row>
    <row r="104" spans="2:10" x14ac:dyDescent="0.25">
      <c r="B104" s="33" t="s">
        <v>96</v>
      </c>
      <c r="C104" s="34">
        <f>C$38/C$12</f>
        <v>4.0209985479727468E-4</v>
      </c>
      <c r="D104" s="34">
        <f>D$38/D$12</f>
        <v>1.5814652275333095E-4</v>
      </c>
      <c r="E104" s="34">
        <f>E$103+$J104</f>
        <v>-4.1853477246669058E-5</v>
      </c>
      <c r="F104" s="34">
        <f>F$103+$J104</f>
        <v>-4.1853477246669058E-5</v>
      </c>
      <c r="G104" s="34">
        <f t="shared" ref="G104:I104" si="64">G$103+$J104</f>
        <v>-4.1853477246669058E-5</v>
      </c>
      <c r="H104" s="34">
        <f t="shared" si="64"/>
        <v>-4.1853477246669058E-5</v>
      </c>
      <c r="I104" s="34">
        <f t="shared" si="64"/>
        <v>-4.1853477246669058E-5</v>
      </c>
      <c r="J104" s="36">
        <v>-2.0000000000000001E-4</v>
      </c>
    </row>
    <row r="105" spans="2:10" x14ac:dyDescent="0.25">
      <c r="B105" s="33" t="str">
        <f>B40 &amp; " as % of EBT"</f>
        <v>Taxation as % of EBT</v>
      </c>
      <c r="C105" s="34">
        <f>-C40/C39</f>
        <v>0.1946456692913385</v>
      </c>
      <c r="D105" s="34">
        <f>-D40/D39</f>
        <v>0.20357352079671934</v>
      </c>
      <c r="E105" s="34">
        <f>AVERAGE(C105,D105)</f>
        <v>0.19910959504402892</v>
      </c>
      <c r="F105" s="34">
        <v>0.19910959504402892</v>
      </c>
      <c r="G105" s="34">
        <v>0.19910959504402892</v>
      </c>
      <c r="H105" s="34">
        <v>0.19910959504402892</v>
      </c>
      <c r="I105" s="34">
        <v>0.19910959504402892</v>
      </c>
      <c r="J105" s="36"/>
    </row>
    <row r="106" spans="2:10" x14ac:dyDescent="0.25">
      <c r="B106" s="33"/>
      <c r="C106" s="34"/>
      <c r="D106" s="34"/>
      <c r="E106" s="34"/>
      <c r="F106" s="34"/>
      <c r="G106" s="34"/>
      <c r="H106" s="34"/>
      <c r="I106" s="34"/>
      <c r="J106" s="36"/>
    </row>
    <row r="107" spans="2:10" x14ac:dyDescent="0.25">
      <c r="B107" s="33"/>
      <c r="C107" s="34"/>
      <c r="D107" s="34"/>
      <c r="E107" s="34"/>
      <c r="F107" s="34"/>
      <c r="G107" s="34"/>
      <c r="H107" s="34"/>
      <c r="I107" s="34"/>
      <c r="J107" s="36"/>
    </row>
    <row r="108" spans="2:10" x14ac:dyDescent="0.25">
      <c r="B108" s="33"/>
      <c r="C108" s="34"/>
      <c r="D108" s="34"/>
      <c r="E108" s="34"/>
      <c r="F108" s="34"/>
      <c r="G108" s="34"/>
      <c r="H108" s="34"/>
      <c r="I108" s="34"/>
      <c r="J108" s="36"/>
    </row>
    <row r="109" spans="2:10" x14ac:dyDescent="0.25">
      <c r="B109" s="33"/>
      <c r="C109" s="34"/>
      <c r="D109" s="34"/>
      <c r="E109" s="34"/>
      <c r="F109" s="34"/>
      <c r="G109" s="34"/>
      <c r="H109" s="34"/>
      <c r="I109" s="34"/>
      <c r="J109" s="36"/>
    </row>
    <row r="110" spans="2:10" x14ac:dyDescent="0.25">
      <c r="B110" s="33"/>
      <c r="C110" s="34"/>
      <c r="D110" s="34"/>
      <c r="E110" s="34"/>
      <c r="F110" s="34"/>
      <c r="G110" s="34"/>
      <c r="H110" s="34"/>
      <c r="I110" s="34"/>
      <c r="J110" s="36"/>
    </row>
    <row r="111" spans="2:10" x14ac:dyDescent="0.25">
      <c r="B111" s="33"/>
      <c r="C111" s="34"/>
      <c r="D111" s="34"/>
      <c r="E111" s="34"/>
      <c r="F111" s="34"/>
      <c r="G111" s="34"/>
      <c r="H111" s="34"/>
      <c r="I111" s="34"/>
      <c r="J111" s="36"/>
    </row>
    <row r="112" spans="2:10" x14ac:dyDescent="0.25">
      <c r="B112" s="33"/>
      <c r="C112" s="34"/>
      <c r="D112" s="34"/>
      <c r="E112" s="34"/>
      <c r="F112" s="34"/>
      <c r="G112" s="34"/>
      <c r="H112" s="34"/>
      <c r="I112" s="34"/>
      <c r="J112" s="36"/>
    </row>
    <row r="113" spans="2:10" x14ac:dyDescent="0.25">
      <c r="B113" s="33"/>
      <c r="C113" s="34"/>
      <c r="D113" s="34"/>
      <c r="E113" s="34"/>
      <c r="F113" s="34"/>
      <c r="G113" s="34"/>
      <c r="H113" s="34"/>
      <c r="I113" s="34"/>
      <c r="J113" s="36"/>
    </row>
  </sheetData>
  <mergeCells count="1">
    <mergeCell ref="A1:F1"/>
  </mergeCells>
  <dataValidations count="1">
    <dataValidation type="list" allowBlank="1" showInputMessage="1" showErrorMessage="1" sqref="C9" xr:uid="{7DFCBFE0-F8D3-44E3-AB0E-0F6251EB572D}">
      <formula1>B$47:B$49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9BC0-FAD4-4528-B47C-736F2FD2BE51}">
  <dimension ref="B2:I56"/>
  <sheetViews>
    <sheetView topLeftCell="A49" zoomScale="130" zoomScaleNormal="130" workbookViewId="0">
      <selection activeCell="E14" sqref="E14:I14"/>
    </sheetView>
  </sheetViews>
  <sheetFormatPr defaultRowHeight="15" x14ac:dyDescent="0.25"/>
  <cols>
    <col min="2" max="2" width="66.5703125" bestFit="1" customWidth="1"/>
  </cols>
  <sheetData>
    <row r="2" spans="2:9" x14ac:dyDescent="0.25">
      <c r="B2" s="41" t="s">
        <v>99</v>
      </c>
      <c r="C2" s="41"/>
      <c r="D2" s="41"/>
      <c r="E2" s="116" t="s">
        <v>100</v>
      </c>
      <c r="F2" s="116"/>
      <c r="G2" s="116"/>
      <c r="H2" s="116"/>
      <c r="I2" s="116"/>
    </row>
    <row r="3" spans="2:9" x14ac:dyDescent="0.25">
      <c r="B3" s="41" t="s">
        <v>101</v>
      </c>
      <c r="C3" s="42">
        <v>2024</v>
      </c>
      <c r="D3" s="42">
        <f>C3+1</f>
        <v>2025</v>
      </c>
      <c r="E3" s="42">
        <f>D3+1</f>
        <v>2026</v>
      </c>
      <c r="F3" s="42">
        <f>E3+1</f>
        <v>2027</v>
      </c>
      <c r="G3" s="42">
        <f t="shared" ref="G3:I3" si="0">F3+1</f>
        <v>2028</v>
      </c>
      <c r="H3" s="42">
        <f t="shared" si="0"/>
        <v>2029</v>
      </c>
      <c r="I3" s="42">
        <f t="shared" si="0"/>
        <v>2030</v>
      </c>
    </row>
    <row r="4" spans="2:9" x14ac:dyDescent="0.25">
      <c r="B4" t="s">
        <v>107</v>
      </c>
      <c r="C4" s="31">
        <v>317.5</v>
      </c>
      <c r="D4" s="31">
        <v>341.4</v>
      </c>
      <c r="E4" s="43">
        <f ca="1">'Profit &amp; loss'!E39</f>
        <v>287.63547470969922</v>
      </c>
      <c r="F4" s="43">
        <f ca="1">'Profit &amp; loss'!F39</f>
        <v>269.76440899588744</v>
      </c>
      <c r="G4" s="43">
        <f ca="1">'Profit &amp; loss'!G39</f>
        <v>255.19354324061098</v>
      </c>
      <c r="H4" s="43">
        <f ca="1">'Profit &amp; loss'!H39</f>
        <v>244.08125423977691</v>
      </c>
      <c r="I4" s="43">
        <f ca="1">'Profit &amp; loss'!I39</f>
        <v>236.65518093702636</v>
      </c>
    </row>
    <row r="5" spans="2:9" x14ac:dyDescent="0.25">
      <c r="B5" t="s">
        <v>18</v>
      </c>
      <c r="C5" s="31">
        <v>368.4</v>
      </c>
      <c r="D5" s="31">
        <v>399.6</v>
      </c>
      <c r="E5" s="43">
        <f>-'Profit &amp; loss'!E32</f>
        <v>437.32044448529803</v>
      </c>
      <c r="F5" s="43">
        <f ca="1">-'Profit &amp; loss'!F32</f>
        <v>471.88960848717466</v>
      </c>
      <c r="G5" s="43">
        <f ca="1">-'Profit &amp; loss'!G32</f>
        <v>502.70316984993144</v>
      </c>
      <c r="H5" s="43">
        <f ca="1">-'Profit &amp; loss'!H32</f>
        <v>530.38300837039526</v>
      </c>
      <c r="I5" s="43">
        <f ca="1">-'Profit &amp; loss'!I32</f>
        <v>555.55292720866862</v>
      </c>
    </row>
    <row r="6" spans="2:9" x14ac:dyDescent="0.25">
      <c r="B6" t="s">
        <v>34</v>
      </c>
      <c r="C6" s="47">
        <v>38.9</v>
      </c>
      <c r="D6" s="47">
        <v>52.8</v>
      </c>
      <c r="E6" s="43">
        <f>-'Profit &amp; loss'!E37</f>
        <v>70.480762890955205</v>
      </c>
      <c r="F6" s="43">
        <f>-'Profit &amp; loss'!F37</f>
        <v>70.480762890955205</v>
      </c>
      <c r="G6" s="43">
        <f>-'Profit &amp; loss'!G37</f>
        <v>70.480762890955205</v>
      </c>
      <c r="H6" s="43">
        <f>-'Profit &amp; loss'!H37</f>
        <v>70.480762890955205</v>
      </c>
      <c r="I6" s="43">
        <f>-'Profit &amp; loss'!I37</f>
        <v>70.480762890955205</v>
      </c>
    </row>
    <row r="7" spans="2:9" x14ac:dyDescent="0.25">
      <c r="B7" t="s">
        <v>108</v>
      </c>
      <c r="C7" s="47">
        <v>-6.1</v>
      </c>
      <c r="D7" s="47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</row>
    <row r="8" spans="2:9" x14ac:dyDescent="0.25">
      <c r="B8" t="s">
        <v>178</v>
      </c>
      <c r="C8" s="47">
        <v>-25.1</v>
      </c>
      <c r="D8" s="47">
        <v>-18.899999999999999</v>
      </c>
      <c r="E8" s="43"/>
      <c r="F8" s="43"/>
      <c r="G8" s="43">
        <v>0</v>
      </c>
      <c r="H8" s="43">
        <v>0</v>
      </c>
      <c r="I8" s="43">
        <v>0</v>
      </c>
    </row>
    <row r="9" spans="2:9" x14ac:dyDescent="0.25">
      <c r="B9" t="s">
        <v>29</v>
      </c>
      <c r="C9" s="47">
        <v>-5.0999999999999996</v>
      </c>
      <c r="D9" s="47">
        <v>-0.3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</row>
    <row r="10" spans="2:9" x14ac:dyDescent="0.25">
      <c r="B10" t="s">
        <v>109</v>
      </c>
      <c r="C10" s="47" t="s">
        <v>14</v>
      </c>
      <c r="D10" s="47">
        <v>-25.6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</row>
    <row r="11" spans="2:9" x14ac:dyDescent="0.25">
      <c r="B11" t="s">
        <v>110</v>
      </c>
      <c r="C11" s="47" t="s">
        <v>14</v>
      </c>
      <c r="D11" s="47">
        <v>-1.1000000000000001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</row>
    <row r="12" spans="2:9" x14ac:dyDescent="0.25">
      <c r="B12" t="s">
        <v>111</v>
      </c>
      <c r="C12" s="47">
        <v>-0.4</v>
      </c>
      <c r="D12" s="47" t="s">
        <v>14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</row>
    <row r="13" spans="2:9" x14ac:dyDescent="0.25">
      <c r="B13" t="s">
        <v>112</v>
      </c>
      <c r="C13" s="47" t="s">
        <v>14</v>
      </c>
      <c r="D13" s="47">
        <v>2.1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</row>
    <row r="14" spans="2:9" x14ac:dyDescent="0.25">
      <c r="B14" t="s">
        <v>74</v>
      </c>
      <c r="C14" s="47">
        <v>10.6</v>
      </c>
      <c r="D14" s="47">
        <v>33.4</v>
      </c>
      <c r="E14" s="43">
        <f>-E23</f>
        <v>28.7</v>
      </c>
      <c r="F14" s="43">
        <f t="shared" ref="F14:I14" si="1">-F23</f>
        <v>21.3</v>
      </c>
      <c r="G14" s="43">
        <f t="shared" si="1"/>
        <v>21.3</v>
      </c>
      <c r="H14" s="43">
        <f t="shared" si="1"/>
        <v>21.3</v>
      </c>
      <c r="I14" s="43">
        <f t="shared" si="1"/>
        <v>21.3</v>
      </c>
    </row>
    <row r="15" spans="2:9" x14ac:dyDescent="0.25">
      <c r="B15" t="s">
        <v>113</v>
      </c>
      <c r="C15" s="47">
        <v>7.8</v>
      </c>
      <c r="D15" s="47">
        <v>6.1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</row>
    <row r="16" spans="2:9" x14ac:dyDescent="0.25">
      <c r="B16" t="s">
        <v>114</v>
      </c>
      <c r="C16" s="47">
        <v>-0.7</v>
      </c>
      <c r="D16" s="47">
        <v>0.4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</row>
    <row r="17" spans="2:9" x14ac:dyDescent="0.25">
      <c r="B17" t="str">
        <f>"change in " &amp; "Inventories"</f>
        <v>change in Inventories</v>
      </c>
      <c r="C17" s="47">
        <v>-22</v>
      </c>
      <c r="D17" s="47">
        <v>0.8</v>
      </c>
      <c r="E17" s="43">
        <f ca="1">-('balance sheet'!I9-'balance sheet'!H9)</f>
        <v>-5.4255762463922679</v>
      </c>
      <c r="F17" s="43">
        <f ca="1">-('balance sheet'!J9-'balance sheet'!I9)</f>
        <v>-3.2900407227296284</v>
      </c>
      <c r="G17" s="43">
        <f ca="1">-('balance sheet'!K9-'balance sheet'!J9)</f>
        <v>-3.2003123393824353</v>
      </c>
      <c r="H17" s="43">
        <f ca="1">-('balance sheet'!L9-'balance sheet'!K9)</f>
        <v>-3.2643185861700772</v>
      </c>
      <c r="I17" s="43">
        <f ca="1">-('balance sheet'!M9-'balance sheet'!L9)</f>
        <v>-3.4960852057881482</v>
      </c>
    </row>
    <row r="18" spans="2:9" x14ac:dyDescent="0.25">
      <c r="B18" t="str">
        <f>"change in " &amp; "Trade, other receivables and prepayments"</f>
        <v>change in Trade, other receivables and prepayments</v>
      </c>
      <c r="C18" s="47">
        <v>-34.9</v>
      </c>
      <c r="D18" s="47">
        <v>-48.3</v>
      </c>
      <c r="E18" s="43">
        <f ca="1">-(SUM('balance sheet'!I7,'balance sheet'!I8)-SUM('balance sheet'!H7,'balance sheet'!H8))</f>
        <v>-31.022247262088285</v>
      </c>
      <c r="F18" s="43">
        <f ca="1">-(SUM('balance sheet'!J7,'balance sheet'!J8)-SUM('balance sheet'!I7,'balance sheet'!I8))</f>
        <v>-18.811726564662081</v>
      </c>
      <c r="G18" s="43">
        <f ca="1">-(SUM('balance sheet'!K7,'balance sheet'!K8)-SUM('balance sheet'!J7,'balance sheet'!J8))</f>
        <v>-18.298679476535085</v>
      </c>
      <c r="H18" s="43">
        <f ca="1">-(SUM('balance sheet'!L7,'balance sheet'!L8)-SUM('balance sheet'!K7,'balance sheet'!K8))</f>
        <v>-18.664653066065739</v>
      </c>
      <c r="I18" s="43">
        <f ca="1">-(SUM('balance sheet'!M7,'balance sheet'!M8)-SUM('balance sheet'!L7,'balance sheet'!L8))</f>
        <v>-19.989843433756278</v>
      </c>
    </row>
    <row r="19" spans="2:9" x14ac:dyDescent="0.25">
      <c r="B19" t="str">
        <f>"change in " &amp; "Service concession receivables,net of deferred grants"</f>
        <v>change in Service concession receivables,net of deferred grants</v>
      </c>
      <c r="C19" s="47">
        <v>0.1</v>
      </c>
      <c r="D19" s="47">
        <v>-133.6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</row>
    <row r="20" spans="2:9" x14ac:dyDescent="0.25">
      <c r="B20" t="str">
        <f>"change in " &amp; "Trade and other payables"</f>
        <v>change in Trade and other payables</v>
      </c>
      <c r="C20" s="47">
        <v>4.2</v>
      </c>
      <c r="D20" s="47">
        <v>-76.900000000000006</v>
      </c>
      <c r="E20" s="43">
        <f ca="1">'balance sheet'!I30-'balance sheet'!H30</f>
        <v>34.217348673545985</v>
      </c>
      <c r="F20" s="43">
        <f ca="1">'balance sheet'!J30-'balance sheet'!I30</f>
        <v>20.749219151543912</v>
      </c>
      <c r="G20" s="43">
        <f ca="1">'balance sheet'!K30-'balance sheet'!J30</f>
        <v>20.183331356501867</v>
      </c>
      <c r="H20" s="43">
        <f ca="1">'balance sheet'!L30-'balance sheet'!K30</f>
        <v>20.586997983631818</v>
      </c>
      <c r="I20" s="43">
        <f ca="1">'balance sheet'!M30-'balance sheet'!L30</f>
        <v>22.04867484046963</v>
      </c>
    </row>
    <row r="21" spans="2:9" x14ac:dyDescent="0.25">
      <c r="B21" t="str">
        <f>"change in " &amp; "Other liabilities"</f>
        <v>change in Other liabilities</v>
      </c>
      <c r="C21" s="47">
        <v>-12.9</v>
      </c>
      <c r="D21" s="47">
        <v>31.6</v>
      </c>
      <c r="E21" s="43">
        <f>'balance sheet'!I43-'balance sheet'!H43</f>
        <v>0</v>
      </c>
      <c r="F21" s="43">
        <f>'balance sheet'!J43-'balance sheet'!I43</f>
        <v>0</v>
      </c>
      <c r="G21" s="43">
        <f>'balance sheet'!K43-'balance sheet'!J43</f>
        <v>0</v>
      </c>
      <c r="H21" s="43">
        <f>'balance sheet'!L43-'balance sheet'!K43</f>
        <v>0</v>
      </c>
      <c r="I21" s="43">
        <f>'balance sheet'!M43-'balance sheet'!L43</f>
        <v>0</v>
      </c>
    </row>
    <row r="22" spans="2:9" x14ac:dyDescent="0.25">
      <c r="B22" t="s">
        <v>115</v>
      </c>
      <c r="C22" s="47">
        <v>-1.6</v>
      </c>
      <c r="D22" s="47">
        <v>-1</v>
      </c>
      <c r="E22" s="47">
        <v>-1</v>
      </c>
      <c r="F22" s="47">
        <v>-1</v>
      </c>
      <c r="G22" s="47">
        <v>-1</v>
      </c>
      <c r="H22" s="47">
        <v>-1</v>
      </c>
      <c r="I22" s="47">
        <v>-1</v>
      </c>
    </row>
    <row r="23" spans="2:9" x14ac:dyDescent="0.25">
      <c r="B23" t="s">
        <v>116</v>
      </c>
      <c r="C23" s="47">
        <v>-19.5</v>
      </c>
      <c r="D23" s="47">
        <v>-28.7</v>
      </c>
      <c r="E23" s="47">
        <v>-28.7</v>
      </c>
      <c r="F23" s="47">
        <v>-21.3</v>
      </c>
      <c r="G23" s="47">
        <v>-21.3</v>
      </c>
      <c r="H23" s="47">
        <v>-21.3</v>
      </c>
      <c r="I23" s="47">
        <v>-21.3</v>
      </c>
    </row>
    <row r="24" spans="2:9" x14ac:dyDescent="0.25">
      <c r="B24" t="s">
        <v>117</v>
      </c>
      <c r="C24" s="47">
        <v>-65.900000000000006</v>
      </c>
      <c r="D24" s="47">
        <v>-73.8</v>
      </c>
      <c r="E24" s="43">
        <f ca="1">'Profit &amp; loss'!E40</f>
        <v>-57.270982889745234</v>
      </c>
      <c r="F24" s="43">
        <f ca="1">'Profit &amp; loss'!F40</f>
        <v>-53.712682232462939</v>
      </c>
      <c r="G24" s="43">
        <f ca="1">'Profit &amp; loss'!G40</f>
        <v>-50.811483052488938</v>
      </c>
      <c r="H24" s="43">
        <f ca="1">'Profit &amp; loss'!H40</f>
        <v>-48.598919689520649</v>
      </c>
      <c r="I24" s="43">
        <f ca="1">'Profit &amp; loss'!I40</f>
        <v>-47.120317241442713</v>
      </c>
    </row>
    <row r="25" spans="2:9" x14ac:dyDescent="0.25">
      <c r="B25" t="s">
        <v>118</v>
      </c>
      <c r="C25" s="47">
        <v>-6.9</v>
      </c>
      <c r="D25" s="47">
        <v>-10</v>
      </c>
      <c r="E25" s="47">
        <f>-'debt schedule'!D13</f>
        <v>-10.592967032967033</v>
      </c>
      <c r="F25" s="47">
        <f>-'debt schedule'!E13</f>
        <v>-10.592967032967033</v>
      </c>
      <c r="G25" s="47">
        <f>-'debt schedule'!F13</f>
        <v>-10.592967032967033</v>
      </c>
      <c r="H25" s="47">
        <f>-'debt schedule'!G13</f>
        <v>-10.592967032967033</v>
      </c>
      <c r="I25" s="47">
        <f>-'debt schedule'!H13</f>
        <v>-10.592967032967033</v>
      </c>
    </row>
    <row r="26" spans="2:9" x14ac:dyDescent="0.25">
      <c r="B26" t="s">
        <v>106</v>
      </c>
      <c r="C26" s="43">
        <v>0.7</v>
      </c>
      <c r="D26" s="43">
        <v>1.7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</row>
    <row r="27" spans="2:9" x14ac:dyDescent="0.25">
      <c r="B27" s="12" t="s">
        <v>102</v>
      </c>
      <c r="C27" s="44">
        <f>SUM(C4:C26)</f>
        <v>547.1</v>
      </c>
      <c r="D27" s="44">
        <f t="shared" ref="D27:I27" si="2">SUM(D4:D26)</f>
        <v>451.69999999999993</v>
      </c>
      <c r="E27" s="44">
        <f ca="1">SUM(E4:E26)</f>
        <v>724.34225732830566</v>
      </c>
      <c r="F27" s="44">
        <f t="shared" ca="1" si="2"/>
        <v>745.47658297273949</v>
      </c>
      <c r="G27" s="44">
        <f t="shared" ca="1" si="2"/>
        <v>764.65736543662604</v>
      </c>
      <c r="H27" s="44">
        <f t="shared" ca="1" si="2"/>
        <v>783.41116511003577</v>
      </c>
      <c r="I27" s="44">
        <f t="shared" ca="1" si="2"/>
        <v>802.53833296316554</v>
      </c>
    </row>
    <row r="28" spans="2:9" x14ac:dyDescent="0.25">
      <c r="B28" s="8"/>
      <c r="C28" s="48"/>
      <c r="D28" s="48"/>
      <c r="E28" s="48"/>
      <c r="F28" s="48"/>
    </row>
    <row r="29" spans="2:9" x14ac:dyDescent="0.25">
      <c r="B29" t="s">
        <v>119</v>
      </c>
      <c r="C29" s="63">
        <v>-445.1</v>
      </c>
      <c r="D29" s="63">
        <v>-565.4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</row>
    <row r="30" spans="2:9" x14ac:dyDescent="0.25">
      <c r="B30" t="s">
        <v>120</v>
      </c>
      <c r="C30" s="63">
        <v>72.099999999999994</v>
      </c>
      <c r="D30" s="63">
        <v>55.1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</row>
    <row r="31" spans="2:9" x14ac:dyDescent="0.25">
      <c r="B31" t="s">
        <v>121</v>
      </c>
      <c r="C31" s="63">
        <v>-373</v>
      </c>
      <c r="D31" s="63">
        <v>-510.3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</row>
    <row r="32" spans="2:9" x14ac:dyDescent="0.25">
      <c r="B32" t="s">
        <v>122</v>
      </c>
      <c r="C32" s="63" t="s">
        <v>14</v>
      </c>
      <c r="D32" s="63">
        <v>54.5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</row>
    <row r="33" spans="2:9" x14ac:dyDescent="0.25">
      <c r="B33" t="s">
        <v>123</v>
      </c>
      <c r="C33" s="63" t="s">
        <v>14</v>
      </c>
      <c r="D33" s="63">
        <v>4.7</v>
      </c>
      <c r="E33" s="48">
        <v>0</v>
      </c>
      <c r="F33" s="48">
        <v>0</v>
      </c>
      <c r="G33" s="48">
        <v>0</v>
      </c>
      <c r="H33" s="48">
        <v>0</v>
      </c>
      <c r="I33" s="48">
        <v>0</v>
      </c>
    </row>
    <row r="34" spans="2:9" x14ac:dyDescent="0.25">
      <c r="B34" t="s">
        <v>124</v>
      </c>
      <c r="C34" s="63" t="s">
        <v>14</v>
      </c>
      <c r="D34" s="63">
        <v>3.2</v>
      </c>
      <c r="E34" s="48">
        <v>0</v>
      </c>
      <c r="F34" s="48">
        <v>0</v>
      </c>
      <c r="G34" s="48">
        <v>0</v>
      </c>
      <c r="H34" s="48">
        <v>0</v>
      </c>
      <c r="I34" s="48">
        <v>0</v>
      </c>
    </row>
    <row r="35" spans="2:9" x14ac:dyDescent="0.25">
      <c r="B35" t="s">
        <v>125</v>
      </c>
      <c r="C35" s="63">
        <v>-0.4</v>
      </c>
      <c r="D35" s="63">
        <v>-2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</row>
    <row r="36" spans="2:9" x14ac:dyDescent="0.25">
      <c r="B36" t="s">
        <v>126</v>
      </c>
      <c r="C36" s="63">
        <v>-23.9</v>
      </c>
      <c r="D36" s="63">
        <v>-22.4</v>
      </c>
      <c r="E36" s="48">
        <v>0</v>
      </c>
      <c r="F36" s="48">
        <v>0</v>
      </c>
      <c r="G36" s="48">
        <v>0</v>
      </c>
      <c r="H36" s="48">
        <v>0</v>
      </c>
      <c r="I36" s="48">
        <v>0</v>
      </c>
    </row>
    <row r="37" spans="2:9" x14ac:dyDescent="0.25">
      <c r="B37" t="s">
        <v>127</v>
      </c>
      <c r="C37" s="63">
        <v>-604.5</v>
      </c>
      <c r="D37" s="63">
        <v>-49</v>
      </c>
      <c r="E37" s="48">
        <v>0</v>
      </c>
      <c r="F37" s="48">
        <v>0</v>
      </c>
      <c r="G37" s="48">
        <v>0</v>
      </c>
      <c r="H37" s="48">
        <v>0</v>
      </c>
      <c r="I37" s="48">
        <v>0</v>
      </c>
    </row>
    <row r="38" spans="2:9" x14ac:dyDescent="0.25">
      <c r="B38" t="s">
        <v>128</v>
      </c>
      <c r="C38" s="63">
        <v>-0.7</v>
      </c>
      <c r="D38" s="63">
        <v>-0.8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</row>
    <row r="39" spans="2:9" x14ac:dyDescent="0.25">
      <c r="B39" t="s">
        <v>129</v>
      </c>
      <c r="C39" s="63">
        <v>24.9</v>
      </c>
      <c r="D39" s="63">
        <v>19.5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</row>
    <row r="40" spans="2:9" x14ac:dyDescent="0.25">
      <c r="B40" t="s">
        <v>130</v>
      </c>
      <c r="C40" s="63">
        <v>7.5</v>
      </c>
      <c r="D40" s="63">
        <v>0.1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</row>
    <row r="41" spans="2:9" x14ac:dyDescent="0.25">
      <c r="B41" t="s">
        <v>179</v>
      </c>
      <c r="E41" s="6">
        <f ca="1">-'Fixed assets schedule'!E4</f>
        <v>-604.21697702921779</v>
      </c>
      <c r="F41" s="6">
        <f ca="1">-'Fixed assets schedule'!F4</f>
        <v>-616.90092120349527</v>
      </c>
      <c r="G41" s="6">
        <f ca="1">-'Fixed assets schedule'!G4</f>
        <v>-629.23893962756517</v>
      </c>
      <c r="H41" s="6">
        <f ca="1">-'Fixed assets schedule'!H4</f>
        <v>-641.82371842011651</v>
      </c>
      <c r="I41" s="6">
        <f ca="1">-'Fixed assets schedule'!I4</f>
        <v>-655.30201650693891</v>
      </c>
    </row>
    <row r="42" spans="2:9" x14ac:dyDescent="0.25">
      <c r="C42" s="43"/>
      <c r="D42" s="43"/>
      <c r="E42" s="43"/>
      <c r="F42" s="43"/>
    </row>
    <row r="43" spans="2:9" x14ac:dyDescent="0.25">
      <c r="B43" s="12" t="s">
        <v>103</v>
      </c>
      <c r="C43" s="44">
        <f>SUM(C31:C42)</f>
        <v>-970.1</v>
      </c>
      <c r="D43" s="44">
        <f t="shared" ref="D43:I43" si="3">SUM(D31:D42)</f>
        <v>-502.49999999999989</v>
      </c>
      <c r="E43" s="44">
        <f t="shared" ca="1" si="3"/>
        <v>-604.21697702921779</v>
      </c>
      <c r="F43" s="44">
        <f t="shared" ca="1" si="3"/>
        <v>-616.90092120349527</v>
      </c>
      <c r="G43" s="44">
        <f t="shared" ca="1" si="3"/>
        <v>-629.23893962756517</v>
      </c>
      <c r="H43" s="44">
        <f t="shared" ca="1" si="3"/>
        <v>-641.82371842011651</v>
      </c>
      <c r="I43" s="44">
        <f t="shared" ca="1" si="3"/>
        <v>-655.30201650693891</v>
      </c>
    </row>
    <row r="45" spans="2:9" x14ac:dyDescent="0.25">
      <c r="B45" t="s">
        <v>159</v>
      </c>
      <c r="C45" s="7">
        <v>3219</v>
      </c>
      <c r="D45" s="7">
        <v>3747.2</v>
      </c>
      <c r="E45" s="6">
        <v>0</v>
      </c>
      <c r="F45">
        <v>0</v>
      </c>
      <c r="G45">
        <v>0</v>
      </c>
      <c r="H45">
        <v>0</v>
      </c>
      <c r="I45">
        <v>0</v>
      </c>
    </row>
    <row r="46" spans="2:9" x14ac:dyDescent="0.25">
      <c r="B46" t="s">
        <v>160</v>
      </c>
      <c r="C46" s="7">
        <v>-2496.8000000000002</v>
      </c>
      <c r="D46" s="7">
        <v>-3269.7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2:9" x14ac:dyDescent="0.25">
      <c r="B47" t="s">
        <v>161</v>
      </c>
      <c r="C47">
        <v>-42.6</v>
      </c>
      <c r="D47">
        <v>-61.9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2:9" x14ac:dyDescent="0.25">
      <c r="B48" t="s">
        <v>162</v>
      </c>
      <c r="C48" t="s">
        <v>14</v>
      </c>
      <c r="D48">
        <v>-119.2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2:9" x14ac:dyDescent="0.25">
      <c r="B49" t="s">
        <v>163</v>
      </c>
      <c r="C49" t="s">
        <v>14</v>
      </c>
      <c r="D49">
        <v>3.3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2:9" x14ac:dyDescent="0.25">
      <c r="B50" t="s">
        <v>164</v>
      </c>
      <c r="C50">
        <v>-157.69999999999999</v>
      </c>
      <c r="D50">
        <v>-176.8</v>
      </c>
      <c r="E50" s="37">
        <f ca="1">'retained earnings schedule'!D11</f>
        <v>-149.79199026762726</v>
      </c>
      <c r="F50" s="37">
        <f ca="1">'retained earnings schedule'!E11</f>
        <v>-140.48527139306154</v>
      </c>
      <c r="G50" s="37">
        <f ca="1">'retained earnings schedule'!F11</f>
        <v>-132.89719838639189</v>
      </c>
      <c r="H50" s="37">
        <f ca="1">'retained earnings schedule'!G11</f>
        <v>-127.11024916691905</v>
      </c>
      <c r="I50" s="37">
        <f ca="1">'retained earnings schedule'!H11</f>
        <v>-123.24297131805507</v>
      </c>
    </row>
    <row r="51" spans="2:9" x14ac:dyDescent="0.25">
      <c r="B51" t="s">
        <v>165</v>
      </c>
      <c r="C51">
        <v>-32.6</v>
      </c>
      <c r="D51">
        <v>-43.5</v>
      </c>
      <c r="E51" s="6">
        <f ca="1">'non-controlling interests '!D6</f>
        <v>-36.854929732136796</v>
      </c>
      <c r="F51" s="6">
        <f ca="1">'non-controlling interests '!E6</f>
        <v>-34.565097882342627</v>
      </c>
      <c r="G51" s="6">
        <f ca="1">'non-controlling interests '!F6</f>
        <v>-32.698122906154119</v>
      </c>
      <c r="H51" s="6">
        <f ca="1">'non-controlling interests '!G6</f>
        <v>-31.274297730548525</v>
      </c>
      <c r="I51" s="6">
        <f ca="1">'non-controlling interests '!H6</f>
        <v>-30.322789888774864</v>
      </c>
    </row>
    <row r="52" spans="2:9" x14ac:dyDescent="0.25">
      <c r="B52" t="s">
        <v>166</v>
      </c>
      <c r="C52">
        <v>-0.2</v>
      </c>
      <c r="D52">
        <v>-0.2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2:9" x14ac:dyDescent="0.25">
      <c r="B53" t="s">
        <v>167</v>
      </c>
      <c r="C53">
        <v>-30.4</v>
      </c>
      <c r="D53">
        <v>-53</v>
      </c>
      <c r="E53" s="37">
        <f>-('debt schedule'!D7)</f>
        <v>-59.887795857988174</v>
      </c>
      <c r="F53" s="37">
        <f>-('debt schedule'!E7)</f>
        <v>-59.887795857988174</v>
      </c>
      <c r="G53" s="37">
        <f>-('debt schedule'!F7)</f>
        <v>-59.887795857988174</v>
      </c>
      <c r="H53" s="37">
        <f>-('debt schedule'!G7)</f>
        <v>-59.887795857988174</v>
      </c>
      <c r="I53" s="37">
        <f>-('debt schedule'!H7)</f>
        <v>-59.887795857988174</v>
      </c>
    </row>
    <row r="54" spans="2:9" x14ac:dyDescent="0.25">
      <c r="B54" s="12" t="s">
        <v>104</v>
      </c>
      <c r="C54" s="44">
        <f>SUM(C45:C53)</f>
        <v>458.69999999999987</v>
      </c>
      <c r="D54" s="44">
        <f>SUM(D45:D53)</f>
        <v>26.200000000000031</v>
      </c>
      <c r="E54" s="44">
        <f t="shared" ref="E54:I54" ca="1" si="4">SUM(E45:E53)</f>
        <v>-246.53471585775225</v>
      </c>
      <c r="F54" s="44">
        <f t="shared" ca="1" si="4"/>
        <v>-234.93816513339235</v>
      </c>
      <c r="G54" s="44">
        <f t="shared" ca="1" si="4"/>
        <v>-225.48311715053418</v>
      </c>
      <c r="H54" s="44">
        <f t="shared" ca="1" si="4"/>
        <v>-218.27234275545575</v>
      </c>
      <c r="I54" s="44">
        <f t="shared" ca="1" si="4"/>
        <v>-213.45355706481811</v>
      </c>
    </row>
    <row r="55" spans="2:9" x14ac:dyDescent="0.25">
      <c r="B55" s="12" t="s">
        <v>177</v>
      </c>
      <c r="C55" s="44">
        <v>856.9</v>
      </c>
      <c r="D55" s="44">
        <v>892.4</v>
      </c>
      <c r="E55" s="44">
        <f>'balance sheet'!H6</f>
        <v>868.4</v>
      </c>
      <c r="F55" s="44">
        <f ca="1">'balance sheet'!I6</f>
        <v>741.99056444133555</v>
      </c>
      <c r="G55" s="44">
        <f ca="1">'balance sheet'!J6</f>
        <v>635.62806107718745</v>
      </c>
      <c r="H55" s="44">
        <f ca="1">'balance sheet'!K6</f>
        <v>545.5633697357141</v>
      </c>
      <c r="I55" s="44">
        <f ca="1">'balance sheet'!L6</f>
        <v>468.87847367017764</v>
      </c>
    </row>
    <row r="56" spans="2:9" x14ac:dyDescent="0.25">
      <c r="B56" s="30" t="s">
        <v>105</v>
      </c>
      <c r="C56" s="45">
        <f>SUM(C55,C54,C43,C27)</f>
        <v>892.59999999999991</v>
      </c>
      <c r="D56" s="45">
        <f t="shared" ref="D56:I56" si="5">SUM(D55,D54,D43,D27)</f>
        <v>867.80000000000007</v>
      </c>
      <c r="E56" s="45">
        <f t="shared" ca="1" si="5"/>
        <v>741.99056444133555</v>
      </c>
      <c r="F56" s="45">
        <f t="shared" ca="1" si="5"/>
        <v>635.62806107718745</v>
      </c>
      <c r="G56" s="45">
        <f t="shared" ca="1" si="5"/>
        <v>545.5633697357141</v>
      </c>
      <c r="H56" s="45">
        <f t="shared" ca="1" si="5"/>
        <v>468.87847367017764</v>
      </c>
      <c r="I56" s="45">
        <f t="shared" ca="1" si="5"/>
        <v>402.66123306158613</v>
      </c>
    </row>
  </sheetData>
  <mergeCells count="1">
    <mergeCell ref="E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C55E-62D4-4777-B758-85DCA86509A0}">
  <dimension ref="B3:M59"/>
  <sheetViews>
    <sheetView topLeftCell="A16" zoomScale="77" zoomScaleNormal="77" workbookViewId="0">
      <selection activeCell="M6" sqref="M6"/>
    </sheetView>
  </sheetViews>
  <sheetFormatPr defaultColWidth="8.7109375" defaultRowHeight="15" x14ac:dyDescent="0.25"/>
  <cols>
    <col min="2" max="2" width="48.7109375" bestFit="1" customWidth="1"/>
    <col min="7" max="8" width="10.7109375" bestFit="1" customWidth="1"/>
    <col min="9" max="9" width="18.140625" bestFit="1" customWidth="1"/>
    <col min="10" max="10" width="9.5703125" bestFit="1" customWidth="1"/>
  </cols>
  <sheetData>
    <row r="3" spans="2:13" x14ac:dyDescent="0.25">
      <c r="B3" s="24" t="s">
        <v>10</v>
      </c>
      <c r="C3" s="24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2:13" x14ac:dyDescent="0.25">
      <c r="B4" s="24" t="s">
        <v>64</v>
      </c>
      <c r="C4" s="23"/>
      <c r="D4" s="23"/>
      <c r="E4" s="23"/>
      <c r="F4" s="23"/>
      <c r="G4" s="24">
        <v>2024</v>
      </c>
      <c r="H4" s="24">
        <v>2025</v>
      </c>
      <c r="I4" s="24">
        <f>H4+1</f>
        <v>2026</v>
      </c>
      <c r="J4" s="24">
        <f>I4+1</f>
        <v>2027</v>
      </c>
      <c r="K4" s="24">
        <f t="shared" ref="K4:M4" si="0">J4+1</f>
        <v>2028</v>
      </c>
      <c r="L4" s="24">
        <f t="shared" si="0"/>
        <v>2029</v>
      </c>
      <c r="M4" s="24">
        <f t="shared" si="0"/>
        <v>2030</v>
      </c>
    </row>
    <row r="5" spans="2:13" x14ac:dyDescent="0.25">
      <c r="B5" t="s">
        <v>2</v>
      </c>
    </row>
    <row r="6" spans="2:13" x14ac:dyDescent="0.25">
      <c r="B6" s="5" t="s">
        <v>39</v>
      </c>
      <c r="G6">
        <f>INDEX('Balance Sheet - Data'!$C$3:$D$57,MATCH('balance sheet'!$B6,'Balance Sheet - Data'!$B$3:$B$57,0),MATCH('balance sheet'!G$4,'Balance Sheet - Data'!$C$2:$D$2,0))</f>
        <v>892.4</v>
      </c>
      <c r="H6" s="37">
        <f>INDEX('Balance Sheet - Data'!$C$3:$D$57,MATCH('balance sheet'!$B6,'Balance Sheet - Data'!$B$3:$B$57,0),MATCH('balance sheet'!H$4,'Balance Sheet - Data'!$C$2:$D$2,0))</f>
        <v>868.4</v>
      </c>
      <c r="I6" s="37">
        <f ca="1">'cash Flow'!E56</f>
        <v>741.99056444133555</v>
      </c>
      <c r="J6" s="37">
        <f ca="1">'cash Flow'!F56</f>
        <v>635.62806107718745</v>
      </c>
      <c r="K6" s="37">
        <f ca="1">'cash Flow'!G56</f>
        <v>545.5633697357141</v>
      </c>
      <c r="L6" s="37">
        <f ca="1">'cash Flow'!H56</f>
        <v>468.87847367017764</v>
      </c>
      <c r="M6" s="37">
        <f ca="1">'cash Flow'!I56</f>
        <v>402.66123306158613</v>
      </c>
    </row>
    <row r="7" spans="2:13" x14ac:dyDescent="0.25">
      <c r="B7" s="5" t="s">
        <v>40</v>
      </c>
      <c r="G7">
        <f>INDEX('Balance Sheet - Data'!$C$3:$D$57,MATCH('balance sheet'!$B7,'Balance Sheet - Data'!$B$3:$B$57,0),MATCH('balance sheet'!G$4,'Balance Sheet - Data'!$C$2:$D$2,0))</f>
        <v>725.7</v>
      </c>
      <c r="H7">
        <f>INDEX('Balance Sheet - Data'!$C$3:$D$57,MATCH('balance sheet'!$B7,'Balance Sheet - Data'!$B$3:$B$57,0),MATCH('balance sheet'!H$4,'Balance Sheet - Data'!$C$2:$D$2,0))</f>
        <v>774.3</v>
      </c>
      <c r="I7" s="37">
        <f ca="1">H7*(1+'Profit &amp; loss'!E$46)</f>
        <v>802.06618431977211</v>
      </c>
      <c r="J7" s="37">
        <f ca="1">I7*(1+'Profit &amp; loss'!F$46)</f>
        <v>818.90345154785894</v>
      </c>
      <c r="K7" s="37">
        <f ca="1">J7*(1+'Profit &amp; loss'!G$46)</f>
        <v>835.28152057881618</v>
      </c>
      <c r="L7" s="37">
        <f ca="1">K7*(1+'Profit &amp; loss'!H$46)</f>
        <v>851.98715099039248</v>
      </c>
      <c r="M7" s="37">
        <f ca="1">L7*(1+'Profit &amp; loss'!I$46)</f>
        <v>869.87888116119063</v>
      </c>
    </row>
    <row r="8" spans="2:13" x14ac:dyDescent="0.25">
      <c r="B8" s="5" t="s">
        <v>38</v>
      </c>
      <c r="G8">
        <f>INDEX('Balance Sheet - Data'!$C$3:$D$57,MATCH('balance sheet'!$B8,'Balance Sheet - Data'!$B$3:$B$57,0),MATCH('balance sheet'!G$4,'Balance Sheet - Data'!$C$2:$D$2,0))</f>
        <v>94</v>
      </c>
      <c r="H8">
        <f>INDEX('Balance Sheet - Data'!$C$3:$D$57,MATCH('balance sheet'!$B8,'Balance Sheet - Data'!$B$3:$B$57,0),MATCH('balance sheet'!H$4,'Balance Sheet - Data'!$C$2:$D$2,0))</f>
        <v>90.8</v>
      </c>
      <c r="I8" s="37">
        <f ca="1">H8*(1+'Profit &amp; loss'!E$46)</f>
        <v>94.056062942316046</v>
      </c>
      <c r="J8" s="37">
        <f ca="1">I8*(1+'Profit &amp; loss'!F$46)</f>
        <v>96.030522278891382</v>
      </c>
      <c r="K8" s="37">
        <f ca="1">J8*(1+'Profit &amp; loss'!G$46)</f>
        <v>97.951132724469218</v>
      </c>
      <c r="L8" s="37">
        <f ca="1">K8*(1+'Profit &amp; loss'!H$46)</f>
        <v>99.910155378958606</v>
      </c>
      <c r="M8" s="37">
        <f ca="1">L8*(1+'Profit &amp; loss'!I$46)</f>
        <v>102.00826864191673</v>
      </c>
    </row>
    <row r="9" spans="2:13" x14ac:dyDescent="0.25">
      <c r="B9" s="5" t="s">
        <v>3</v>
      </c>
      <c r="G9">
        <f>INDEX('Balance Sheet - Data'!$C$3:$D$57,MATCH('balance sheet'!$B9,'Balance Sheet - Data'!$B$3:$B$57,0),MATCH('balance sheet'!G$4,'Balance Sheet - Data'!$C$2:$D$2,0))</f>
        <v>158</v>
      </c>
      <c r="H9">
        <f>INDEX('Balance Sheet - Data'!$C$3:$D$57,MATCH('balance sheet'!$B9,'Balance Sheet - Data'!$B$3:$B$57,0),MATCH('balance sheet'!H$4,'Balance Sheet - Data'!$C$2:$D$2,0))</f>
        <v>151.30000000000001</v>
      </c>
      <c r="I9" s="37">
        <f ca="1">H9*(1+'Profit &amp; loss'!E$46)</f>
        <v>156.72557624639228</v>
      </c>
      <c r="J9" s="37">
        <f ca="1">I9*(1+'Profit &amp; loss'!F$46)</f>
        <v>160.01561696912191</v>
      </c>
      <c r="K9" s="37">
        <f ca="1">J9*(1+'Profit &amp; loss'!G$46)</f>
        <v>163.21592930850434</v>
      </c>
      <c r="L9" s="37">
        <f ca="1">K9*(1+'Profit &amp; loss'!H$46)</f>
        <v>166.48024789467442</v>
      </c>
      <c r="M9" s="37">
        <f ca="1">L9*(1+'Profit &amp; loss'!I$46)</f>
        <v>169.97633310046257</v>
      </c>
    </row>
    <row r="10" spans="2:13" x14ac:dyDescent="0.25">
      <c r="B10" s="5" t="s">
        <v>41</v>
      </c>
      <c r="G10">
        <f>INDEX('Balance Sheet - Data'!$C$3:$D$57,MATCH('balance sheet'!$B10,'Balance Sheet - Data'!$B$3:$B$57,0),MATCH('balance sheet'!G$4,'Balance Sheet - Data'!$C$2:$D$2,0))</f>
        <v>29</v>
      </c>
      <c r="H10">
        <f>INDEX('Balance Sheet - Data'!$C$3:$D$57,MATCH('balance sheet'!$B10,'Balance Sheet - Data'!$B$3:$B$57,0),MATCH('balance sheet'!H$4,'Balance Sheet - Data'!$C$2:$D$2,0))</f>
        <v>0</v>
      </c>
    </row>
    <row r="11" spans="2:13" x14ac:dyDescent="0.25">
      <c r="B11" s="12" t="s">
        <v>4</v>
      </c>
      <c r="C11" s="12"/>
      <c r="D11" s="12"/>
      <c r="E11" s="12"/>
      <c r="F11" s="12"/>
      <c r="G11" s="12">
        <f>SUM(G6:G10)</f>
        <v>1899.1</v>
      </c>
      <c r="H11" s="12">
        <f>SUM(H6:H10)</f>
        <v>1884.7999999999997</v>
      </c>
      <c r="I11" s="13">
        <f ca="1">SUM(I6:I10)</f>
        <v>1794.838387949816</v>
      </c>
      <c r="J11" s="13">
        <f ca="1">SUM(J6:J10)</f>
        <v>1710.5776518730597</v>
      </c>
      <c r="K11" s="13">
        <f t="shared" ref="K11:M11" ca="1" si="1">SUM(K6:K10)</f>
        <v>1642.0119523475041</v>
      </c>
      <c r="L11" s="13">
        <f t="shared" ca="1" si="1"/>
        <v>1587.2560279342031</v>
      </c>
      <c r="M11" s="13">
        <f t="shared" ca="1" si="1"/>
        <v>1544.524715965156</v>
      </c>
    </row>
    <row r="13" spans="2:13" x14ac:dyDescent="0.25">
      <c r="B13" t="s">
        <v>5</v>
      </c>
    </row>
    <row r="14" spans="2:13" x14ac:dyDescent="0.25">
      <c r="B14" t="s">
        <v>65</v>
      </c>
      <c r="G14">
        <f>INDEX('Balance Sheet - Data'!$C$3:$D$57,MATCH('balance sheet'!$B14,'Balance Sheet - Data'!$B$3:$B$57,0),MATCH('balance sheet'!G$4,'Balance Sheet - Data'!$C$2:$D$2,0))</f>
        <v>12.9</v>
      </c>
      <c r="H14">
        <f>INDEX('Balance Sheet - Data'!$C$3:$D$57,MATCH('balance sheet'!$B14,'Balance Sheet - Data'!$B$3:$B$57,0),MATCH('balance sheet'!H$4,'Balance Sheet - Data'!$C$2:$D$2,0))</f>
        <v>14.3</v>
      </c>
      <c r="I14" s="37">
        <v>14.3</v>
      </c>
      <c r="J14" s="37">
        <v>14.3</v>
      </c>
      <c r="K14" s="37">
        <v>14.3</v>
      </c>
      <c r="L14" s="37">
        <v>14.3</v>
      </c>
      <c r="M14" s="37">
        <v>14.3</v>
      </c>
    </row>
    <row r="15" spans="2:13" x14ac:dyDescent="0.25">
      <c r="B15" t="s">
        <v>42</v>
      </c>
      <c r="G15">
        <f>INDEX('Balance Sheet - Data'!$C$3:$D$57,MATCH('balance sheet'!$B15,'Balance Sheet - Data'!$B$3:$B$57,0),MATCH('balance sheet'!G$4,'Balance Sheet - Data'!$C$2:$D$2,0))</f>
        <v>29.1</v>
      </c>
      <c r="H15">
        <f>INDEX('Balance Sheet - Data'!$C$3:$D$57,MATCH('balance sheet'!$B15,'Balance Sheet - Data'!$B$3:$B$57,0),MATCH('balance sheet'!H$4,'Balance Sheet - Data'!$C$2:$D$2,0))</f>
        <v>27.6</v>
      </c>
      <c r="I15" s="37">
        <v>27.6</v>
      </c>
      <c r="J15" s="37">
        <v>27.6</v>
      </c>
      <c r="K15" s="37">
        <v>27.6</v>
      </c>
      <c r="L15" s="37">
        <v>27.6</v>
      </c>
      <c r="M15" s="37">
        <v>27.6</v>
      </c>
    </row>
    <row r="16" spans="2:13" x14ac:dyDescent="0.25">
      <c r="B16" t="s">
        <v>97</v>
      </c>
      <c r="G16">
        <f>INDEX('Balance Sheet - Data'!$C$3:$D$57,MATCH('balance sheet'!$B16,'Balance Sheet - Data'!$B$3:$B$57,0),MATCH('balance sheet'!G$4,'Balance Sheet - Data'!$C$2:$D$2,0))</f>
        <v>127.7</v>
      </c>
      <c r="H16">
        <f>INDEX('Balance Sheet - Data'!$C$3:$D$57,MATCH('balance sheet'!$B16,'Balance Sheet - Data'!$B$3:$B$57,0),MATCH('balance sheet'!H$4,'Balance Sheet - Data'!$C$2:$D$2,0))</f>
        <v>268.89999999999998</v>
      </c>
      <c r="I16" s="37">
        <v>268.89999999999998</v>
      </c>
      <c r="J16" s="37">
        <v>268.89999999999998</v>
      </c>
      <c r="K16" s="37">
        <v>268.89999999999998</v>
      </c>
      <c r="L16" s="37">
        <v>268.89999999999998</v>
      </c>
      <c r="M16" s="37">
        <v>268.89999999999998</v>
      </c>
    </row>
    <row r="17" spans="2:13" x14ac:dyDescent="0.25">
      <c r="B17" t="s">
        <v>66</v>
      </c>
      <c r="G17">
        <f>INDEX('Balance Sheet - Data'!$C$3:$D$57,MATCH('balance sheet'!$B17,'Balance Sheet - Data'!$B$3:$B$57,0),MATCH('balance sheet'!G$4,'Balance Sheet - Data'!$C$2:$D$2,0))</f>
        <v>2129.6</v>
      </c>
      <c r="H17">
        <f>INDEX('Balance Sheet - Data'!$C$3:$D$57,MATCH('balance sheet'!$B17,'Balance Sheet - Data'!$B$3:$B$57,0),MATCH('balance sheet'!H$4,'Balance Sheet - Data'!$C$2:$D$2,0))</f>
        <v>2339.3000000000002</v>
      </c>
      <c r="I17" s="1">
        <f ca="1">'Fixed assets schedule'!E6</f>
        <v>2533.128885368812</v>
      </c>
      <c r="J17" s="1">
        <f ca="1">'Fixed assets schedule'!F6</f>
        <v>2705.6379247288678</v>
      </c>
      <c r="K17" s="1">
        <f ca="1">'Fixed assets schedule'!G6</f>
        <v>2860.2213756831115</v>
      </c>
      <c r="L17" s="1">
        <f ca="1">'Fixed assets schedule'!H6</f>
        <v>3000.2707205329752</v>
      </c>
      <c r="M17" s="1">
        <f ca="1">'Fixed assets schedule'!I6</f>
        <v>3129.2292259621909</v>
      </c>
    </row>
    <row r="18" spans="2:13" x14ac:dyDescent="0.25">
      <c r="B18" t="s">
        <v>67</v>
      </c>
      <c r="G18">
        <f>INDEX('Balance Sheet - Data'!$C$3:$D$57,MATCH('balance sheet'!$B18,'Balance Sheet - Data'!$B$3:$B$57,0),MATCH('balance sheet'!G$4,'Balance Sheet - Data'!$C$2:$D$2,0))</f>
        <v>557.79999999999995</v>
      </c>
      <c r="H18">
        <f>INDEX('Balance Sheet - Data'!$C$3:$D$57,MATCH('balance sheet'!$B18,'Balance Sheet - Data'!$B$3:$B$57,0),MATCH('balance sheet'!H$4,'Balance Sheet - Data'!$C$2:$D$2,0))</f>
        <v>557.29999999999995</v>
      </c>
      <c r="I18" s="37">
        <f>H18+('Profit &amp; loss'!E32-'Fixed assets schedule'!E5)</f>
        <v>530.36764717510778</v>
      </c>
      <c r="J18" s="37">
        <f ca="1">I18+('Profit &amp; loss'!F32-'Fixed assets schedule'!F5)</f>
        <v>502.86992053137237</v>
      </c>
      <c r="K18" s="37">
        <f ca="1">J18+('Profit &amp; loss'!G32-'Fixed assets schedule'!G5)</f>
        <v>474.82223935476225</v>
      </c>
      <c r="L18" s="37">
        <f ca="1">K18+('Profit &amp; loss'!H32-'Fixed assets schedule'!H5)</f>
        <v>446.21360455461991</v>
      </c>
      <c r="M18" s="37">
        <f ca="1">L18+('Profit &amp; loss'!I32-'Fixed assets schedule'!I5)</f>
        <v>417.00418842367458</v>
      </c>
    </row>
    <row r="19" spans="2:13" x14ac:dyDescent="0.25">
      <c r="B19" t="s">
        <v>43</v>
      </c>
      <c r="G19">
        <f>INDEX('Balance Sheet - Data'!$C$3:$D$57,MATCH('balance sheet'!$B19,'Balance Sheet - Data'!$B$3:$B$57,0),MATCH('balance sheet'!G$4,'Balance Sheet - Data'!$C$2:$D$2,0))</f>
        <v>955.5</v>
      </c>
      <c r="H19">
        <f>INDEX('Balance Sheet - Data'!$C$3:$D$57,MATCH('balance sheet'!$B19,'Balance Sheet - Data'!$B$3:$B$57,0),MATCH('balance sheet'!H$4,'Balance Sheet - Data'!$C$2:$D$2,0))</f>
        <v>977.1</v>
      </c>
      <c r="I19" s="37">
        <v>977.1</v>
      </c>
      <c r="J19" s="37">
        <v>977.1</v>
      </c>
      <c r="K19" s="37">
        <v>977.1</v>
      </c>
      <c r="L19" s="37">
        <v>977.1</v>
      </c>
      <c r="M19" s="37">
        <v>977.1</v>
      </c>
    </row>
    <row r="20" spans="2:13" x14ac:dyDescent="0.25">
      <c r="B20" t="s">
        <v>68</v>
      </c>
      <c r="G20">
        <f>INDEX('Balance Sheet - Data'!$C$3:$D$57,MATCH('balance sheet'!$B20,'Balance Sheet - Data'!$B$3:$B$57,0),MATCH('balance sheet'!G$4,'Balance Sheet - Data'!$C$2:$D$2,0))</f>
        <v>69.2</v>
      </c>
      <c r="H20">
        <f>INDEX('Balance Sheet - Data'!$C$3:$D$57,MATCH('balance sheet'!$B20,'Balance Sheet - Data'!$B$3:$B$57,0),MATCH('balance sheet'!H$4,'Balance Sheet - Data'!$C$2:$D$2,0))</f>
        <v>69.599999999999994</v>
      </c>
      <c r="I20" s="37">
        <v>69.599999999999994</v>
      </c>
      <c r="J20" s="37">
        <v>69.599999999999994</v>
      </c>
      <c r="K20" s="37">
        <v>69.599999999999994</v>
      </c>
      <c r="L20" s="37">
        <v>69.599999999999994</v>
      </c>
      <c r="M20" s="37">
        <v>69.599999999999994</v>
      </c>
    </row>
    <row r="21" spans="2:13" x14ac:dyDescent="0.25">
      <c r="B21" s="12" t="s">
        <v>44</v>
      </c>
      <c r="C21" s="29"/>
      <c r="D21" s="29"/>
      <c r="E21" s="29"/>
      <c r="F21" s="29"/>
      <c r="G21" s="29">
        <f>SUM(G14:G20)</f>
        <v>3881.7999999999993</v>
      </c>
      <c r="H21" s="29">
        <f>SUM(H14:H20)</f>
        <v>4254.1000000000013</v>
      </c>
      <c r="I21" s="57">
        <f t="shared" ref="I21:M21" ca="1" si="2">SUM(I14:I20)</f>
        <v>4420.9965325439207</v>
      </c>
      <c r="J21" s="57">
        <f t="shared" ca="1" si="2"/>
        <v>4566.0078452602411</v>
      </c>
      <c r="K21" s="57">
        <f t="shared" ca="1" si="2"/>
        <v>4692.5436150378746</v>
      </c>
      <c r="L21" s="57">
        <f t="shared" ca="1" si="2"/>
        <v>4803.9843250875956</v>
      </c>
      <c r="M21" s="57">
        <f t="shared" ca="1" si="2"/>
        <v>4903.7334143858661</v>
      </c>
    </row>
    <row r="22" spans="2:13" x14ac:dyDescent="0.25">
      <c r="B22" s="8"/>
    </row>
    <row r="23" spans="2:13" x14ac:dyDescent="0.25">
      <c r="B23" s="28" t="s">
        <v>6</v>
      </c>
      <c r="C23" s="28"/>
      <c r="D23" s="28"/>
      <c r="E23" s="28"/>
      <c r="F23" s="28"/>
      <c r="G23" s="28">
        <f>SUM(G21,G11)</f>
        <v>5780.9</v>
      </c>
      <c r="H23" s="28">
        <f>SUM(H21,H11)</f>
        <v>6138.9000000000015</v>
      </c>
      <c r="I23" s="58">
        <f ca="1">SUM(I21,I11)</f>
        <v>6215.8349204937367</v>
      </c>
      <c r="J23" s="58">
        <f t="shared" ref="J23:M23" ca="1" si="3">SUM(J21,J11)</f>
        <v>6276.585497133301</v>
      </c>
      <c r="K23" s="58">
        <f t="shared" ca="1" si="3"/>
        <v>6334.5555673853787</v>
      </c>
      <c r="L23" s="58">
        <f t="shared" ca="1" si="3"/>
        <v>6391.2403530217989</v>
      </c>
      <c r="M23" s="58">
        <f t="shared" ca="1" si="3"/>
        <v>6448.2581303510224</v>
      </c>
    </row>
    <row r="24" spans="2:13" x14ac:dyDescent="0.25">
      <c r="B24" s="8"/>
    </row>
    <row r="25" spans="2:13" x14ac:dyDescent="0.25">
      <c r="B25" s="8"/>
    </row>
    <row r="26" spans="2:13" x14ac:dyDescent="0.25">
      <c r="B26" t="s">
        <v>45</v>
      </c>
    </row>
    <row r="27" spans="2:13" x14ac:dyDescent="0.25">
      <c r="B27" s="5" t="s">
        <v>46</v>
      </c>
      <c r="G27">
        <f>INDEX('Balance Sheet - Data'!$C$3:$D$57,MATCH('balance sheet'!$B27,'Balance Sheet - Data'!$B$3:$B$57,0),MATCH('balance sheet'!G$4,'Balance Sheet - Data'!$C$2:$D$2,0))</f>
        <v>590.5</v>
      </c>
      <c r="H27">
        <f>INDEX('Balance Sheet - Data'!$C$3:$D$57,MATCH('balance sheet'!$B27,'Balance Sheet - Data'!$B$3:$B$57,0),MATCH('balance sheet'!H$4,'Balance Sheet - Data'!$C$2:$D$2,0))</f>
        <v>387.4</v>
      </c>
      <c r="I27" s="37">
        <v>387.4</v>
      </c>
      <c r="J27" s="37">
        <v>387.4</v>
      </c>
      <c r="K27" s="37">
        <v>387.4</v>
      </c>
      <c r="L27" s="37">
        <v>387.4</v>
      </c>
      <c r="M27" s="37">
        <v>387.4</v>
      </c>
    </row>
    <row r="28" spans="2:13" x14ac:dyDescent="0.25">
      <c r="B28" s="5" t="s">
        <v>69</v>
      </c>
      <c r="G28">
        <f>INDEX('Balance Sheet - Data'!$C$3:$D$57,MATCH('balance sheet'!$B28,'Balance Sheet - Data'!$B$3:$B$57,0),MATCH('balance sheet'!G$4,'Balance Sheet - Data'!$C$2:$D$2,0))</f>
        <v>4.7</v>
      </c>
      <c r="H28">
        <f>INDEX('Balance Sheet - Data'!$C$3:$D$57,MATCH('balance sheet'!$B28,'Balance Sheet - Data'!$B$3:$B$57,0),MATCH('balance sheet'!H$4,'Balance Sheet - Data'!$C$2:$D$2,0))</f>
        <v>5.3</v>
      </c>
      <c r="I28" s="37">
        <v>5.3</v>
      </c>
      <c r="J28" s="37">
        <v>5.3</v>
      </c>
      <c r="K28" s="37">
        <v>5.3</v>
      </c>
      <c r="L28" s="37">
        <v>5.3</v>
      </c>
      <c r="M28" s="37">
        <v>5.3</v>
      </c>
    </row>
    <row r="29" spans="2:13" x14ac:dyDescent="0.25">
      <c r="B29" s="5" t="s">
        <v>70</v>
      </c>
      <c r="G29">
        <f>INDEX('Balance Sheet - Data'!$C$3:$D$57,MATCH('balance sheet'!$B29,'Balance Sheet - Data'!$B$3:$B$57,0),MATCH('balance sheet'!G$4,'Balance Sheet - Data'!$C$2:$D$2,0))</f>
        <v>66.099999999999994</v>
      </c>
      <c r="H29">
        <f>INDEX('Balance Sheet - Data'!$C$3:$D$57,MATCH('balance sheet'!$B29,'Balance Sheet - Data'!$B$3:$B$57,0),MATCH('balance sheet'!H$4,'Balance Sheet - Data'!$C$2:$D$2,0))</f>
        <v>60.1</v>
      </c>
      <c r="I29" s="37">
        <v>60.1</v>
      </c>
      <c r="J29" s="37">
        <v>60.1</v>
      </c>
      <c r="K29" s="37">
        <v>60.1</v>
      </c>
      <c r="L29" s="37">
        <v>60.1</v>
      </c>
      <c r="M29" s="37">
        <v>60.1</v>
      </c>
    </row>
    <row r="30" spans="2:13" x14ac:dyDescent="0.25">
      <c r="B30" s="5" t="s">
        <v>71</v>
      </c>
      <c r="G30">
        <f>INDEX('Balance Sheet - Data'!$C$3:$D$57,MATCH('balance sheet'!$B30,'Balance Sheet - Data'!$B$3:$B$57,0),MATCH('balance sheet'!G$4,'Balance Sheet - Data'!$C$2:$D$2,0))</f>
        <v>1001.1</v>
      </c>
      <c r="H30">
        <f>INDEX('Balance Sheet - Data'!$C$3:$D$57,MATCH('balance sheet'!$B30,'Balance Sheet - Data'!$B$3:$B$57,0),MATCH('balance sheet'!H$4,'Balance Sheet - Data'!$C$2:$D$2,0))</f>
        <v>954.2</v>
      </c>
      <c r="I30" s="37">
        <f ca="1">H30*(1+'Profit &amp; loss'!E$46)</f>
        <v>988.41734867354603</v>
      </c>
      <c r="J30" s="37">
        <f ca="1">I30*(1+'Profit &amp; loss'!F$46)</f>
        <v>1009.1665678250899</v>
      </c>
      <c r="K30" s="37">
        <f ca="1">J30*(1+'Profit &amp; loss'!G$46)</f>
        <v>1029.3498991815918</v>
      </c>
      <c r="L30" s="37">
        <f ca="1">K30*(1+'Profit &amp; loss'!H$46)</f>
        <v>1049.9368971652236</v>
      </c>
      <c r="M30" s="37">
        <f ca="1">L30*(1+'Profit &amp; loss'!I$46)</f>
        <v>1071.9855720056933</v>
      </c>
    </row>
    <row r="31" spans="2:13" x14ac:dyDescent="0.25">
      <c r="B31" s="5" t="s">
        <v>72</v>
      </c>
      <c r="G31">
        <f>INDEX('Balance Sheet - Data'!$C$3:$D$57,MATCH('balance sheet'!$B31,'Balance Sheet - Data'!$B$3:$B$57,0),MATCH('balance sheet'!G$4,'Balance Sheet - Data'!$C$2:$D$2,0))</f>
        <v>1.1000000000000001</v>
      </c>
      <c r="H31">
        <f>INDEX('Balance Sheet - Data'!$C$3:$D$57,MATCH('balance sheet'!$B31,'Balance Sheet - Data'!$B$3:$B$57,0),MATCH('balance sheet'!H$4,'Balance Sheet - Data'!$C$2:$D$2,0))</f>
        <v>0.7</v>
      </c>
      <c r="I31" s="37">
        <v>0.7</v>
      </c>
      <c r="J31" s="37">
        <v>0.7</v>
      </c>
      <c r="K31" s="37">
        <v>0.7</v>
      </c>
      <c r="L31" s="37">
        <v>0.7</v>
      </c>
      <c r="M31" s="37">
        <v>0.7</v>
      </c>
    </row>
    <row r="32" spans="2:13" x14ac:dyDescent="0.25">
      <c r="B32" s="5" t="s">
        <v>73</v>
      </c>
      <c r="G32">
        <f>INDEX('Balance Sheet - Data'!$C$3:$D$57,MATCH('balance sheet'!$B32,'Balance Sheet - Data'!$B$3:$B$57,0),MATCH('balance sheet'!G$4,'Balance Sheet - Data'!$C$2:$D$2,0))</f>
        <v>19.399999999999999</v>
      </c>
      <c r="H32">
        <f>INDEX('Balance Sheet - Data'!$C$3:$D$57,MATCH('balance sheet'!$B32,'Balance Sheet - Data'!$B$3:$B$57,0),MATCH('balance sheet'!H$4,'Balance Sheet - Data'!$C$2:$D$2,0))</f>
        <v>19.399999999999999</v>
      </c>
      <c r="I32" s="37">
        <v>19.399999999999999</v>
      </c>
      <c r="J32" s="37">
        <v>19.399999999999999</v>
      </c>
      <c r="K32" s="37">
        <v>19.399999999999999</v>
      </c>
      <c r="L32" s="37">
        <v>19.399999999999999</v>
      </c>
      <c r="M32" s="37">
        <v>19.399999999999999</v>
      </c>
    </row>
    <row r="33" spans="2:13" x14ac:dyDescent="0.25">
      <c r="B33" s="5" t="s">
        <v>74</v>
      </c>
      <c r="G33">
        <f>INDEX('Balance Sheet - Data'!$C$3:$D$57,MATCH('balance sheet'!$B33,'Balance Sheet - Data'!$B$3:$B$57,0),MATCH('balance sheet'!G$4,'Balance Sheet - Data'!$C$2:$D$2,0))</f>
        <v>45</v>
      </c>
      <c r="H33">
        <f>INDEX('Balance Sheet - Data'!$C$3:$D$57,MATCH('balance sheet'!$B33,'Balance Sheet - Data'!$B$3:$B$57,0),MATCH('balance sheet'!H$4,'Balance Sheet - Data'!$C$2:$D$2,0))</f>
        <v>50</v>
      </c>
      <c r="I33" s="37">
        <v>50</v>
      </c>
      <c r="J33" s="37">
        <v>50</v>
      </c>
      <c r="K33" s="37">
        <v>50</v>
      </c>
      <c r="L33" s="37">
        <v>50</v>
      </c>
      <c r="M33" s="37">
        <v>50</v>
      </c>
    </row>
    <row r="34" spans="2:13" x14ac:dyDescent="0.25">
      <c r="B34" s="5" t="s">
        <v>75</v>
      </c>
      <c r="G34">
        <f>INDEX('Balance Sheet - Data'!$C$3:$D$57,MATCH('balance sheet'!$B34,'Balance Sheet - Data'!$B$3:$B$57,0),MATCH('balance sheet'!G$4,'Balance Sheet - Data'!$C$2:$D$2,0))</f>
        <v>72.8</v>
      </c>
      <c r="H34">
        <f>INDEX('Balance Sheet - Data'!$C$3:$D$57,MATCH('balance sheet'!$B34,'Balance Sheet - Data'!$B$3:$B$57,0),MATCH('balance sheet'!H$4,'Balance Sheet - Data'!$C$2:$D$2,0))</f>
        <v>60</v>
      </c>
      <c r="I34" s="37">
        <v>60</v>
      </c>
      <c r="J34" s="37">
        <v>60</v>
      </c>
      <c r="K34" s="37">
        <v>60</v>
      </c>
      <c r="L34" s="37">
        <v>60</v>
      </c>
      <c r="M34" s="37">
        <v>60</v>
      </c>
    </row>
    <row r="35" spans="2:13" x14ac:dyDescent="0.25">
      <c r="B35" s="12" t="s">
        <v>7</v>
      </c>
      <c r="C35" s="12"/>
      <c r="D35" s="12"/>
      <c r="E35" s="12"/>
      <c r="F35" s="12"/>
      <c r="G35" s="12">
        <f>SUM(G27:G34)</f>
        <v>1800.7</v>
      </c>
      <c r="H35" s="12">
        <f>SUM(H27:H34)</f>
        <v>1537.1000000000001</v>
      </c>
      <c r="I35" s="12">
        <f t="shared" ref="I35:M35" ca="1" si="4">SUM(I27:I34)</f>
        <v>1571.3173486735461</v>
      </c>
      <c r="J35" s="12">
        <f t="shared" ca="1" si="4"/>
        <v>1592.06656782509</v>
      </c>
      <c r="K35" s="12">
        <f t="shared" ca="1" si="4"/>
        <v>1612.2498991815919</v>
      </c>
      <c r="L35" s="12">
        <f t="shared" ca="1" si="4"/>
        <v>1632.8368971652237</v>
      </c>
      <c r="M35" s="12">
        <f t="shared" ca="1" si="4"/>
        <v>1654.8855720056933</v>
      </c>
    </row>
    <row r="36" spans="2:13" x14ac:dyDescent="0.25">
      <c r="B36" s="8"/>
    </row>
    <row r="37" spans="2:13" x14ac:dyDescent="0.25">
      <c r="B37" s="5" t="s">
        <v>47</v>
      </c>
    </row>
    <row r="38" spans="2:13" x14ac:dyDescent="0.25">
      <c r="B38" s="5" t="s">
        <v>85</v>
      </c>
      <c r="G38">
        <f>INDEX('Balance Sheet - Data'!$C$3:$D$57,MATCH('balance sheet'!$B38,'Balance Sheet - Data'!$B$3:$B$57,0),MATCH('balance sheet'!G$4,'Balance Sheet - Data'!$C$2:$D$2,0))</f>
        <v>491.1</v>
      </c>
      <c r="H38">
        <f>INDEX('Balance Sheet - Data'!$C$3:$D$57,MATCH('balance sheet'!$B$38,'Balance Sheet - Data'!$B$3:$B$57,0),MATCH('balance sheet'!$H$4,'Balance Sheet - Data'!$C$2:$D$2,0))</f>
        <v>1184.8</v>
      </c>
      <c r="I38">
        <f>INDEX('Balance Sheet - Data'!$C$3:$D$57,MATCH('balance sheet'!$B$38,'Balance Sheet - Data'!$B$3:$B$57,0),MATCH('balance sheet'!$H$4,'Balance Sheet - Data'!$C$2:$D$2,0))</f>
        <v>1184.8</v>
      </c>
      <c r="J38">
        <f>INDEX('Balance Sheet - Data'!$C$3:$D$57,MATCH('balance sheet'!$B$38,'Balance Sheet - Data'!$B$3:$B$57,0),MATCH('balance sheet'!$H$4,'Balance Sheet - Data'!$C$2:$D$2,0))</f>
        <v>1184.8</v>
      </c>
      <c r="K38">
        <f>INDEX('Balance Sheet - Data'!$C$3:$D$57,MATCH('balance sheet'!$B$38,'Balance Sheet - Data'!$B$3:$B$57,0),MATCH('balance sheet'!$H$4,'Balance Sheet - Data'!$C$2:$D$2,0))</f>
        <v>1184.8</v>
      </c>
      <c r="L38">
        <f>INDEX('Balance Sheet - Data'!$C$3:$D$57,MATCH('balance sheet'!$B$38,'Balance Sheet - Data'!$B$3:$B$57,0),MATCH('balance sheet'!$H$4,'Balance Sheet - Data'!$C$2:$D$2,0))</f>
        <v>1184.8</v>
      </c>
      <c r="M38">
        <f>INDEX('Balance Sheet - Data'!$C$3:$D$57,MATCH('balance sheet'!$B$38,'Balance Sheet - Data'!$B$3:$B$57,0),MATCH('balance sheet'!$H$4,'Balance Sheet - Data'!$C$2:$D$2,0))</f>
        <v>1184.8</v>
      </c>
    </row>
    <row r="39" spans="2:13" x14ac:dyDescent="0.25">
      <c r="B39" s="5" t="s">
        <v>86</v>
      </c>
      <c r="G39">
        <f>INDEX('Balance Sheet - Data'!$C$3:$D$57,MATCH('balance sheet'!$B39,'Balance Sheet - Data'!$B$3:$B$57,0),MATCH('balance sheet'!G$4,'Balance Sheet - Data'!$C$2:$D$2,0))</f>
        <v>24.3</v>
      </c>
      <c r="H39">
        <f>INDEX('Balance Sheet - Data'!$C$3:$D$57,MATCH('balance sheet'!$B39,'Balance Sheet - Data'!$B$3:$B$57,0),MATCH('balance sheet'!H$4,'Balance Sheet - Data'!$C$2:$D$2,0))</f>
        <v>21</v>
      </c>
      <c r="I39" s="37">
        <v>21</v>
      </c>
      <c r="J39" s="37">
        <v>21</v>
      </c>
      <c r="K39" s="37">
        <v>21</v>
      </c>
      <c r="L39" s="37">
        <v>21</v>
      </c>
      <c r="M39" s="37">
        <v>21</v>
      </c>
    </row>
    <row r="40" spans="2:13" x14ac:dyDescent="0.25">
      <c r="B40" s="5" t="s">
        <v>87</v>
      </c>
      <c r="G40">
        <f>INDEX('Balance Sheet - Data'!$C$3:$D$57,MATCH('balance sheet'!$B40,'Balance Sheet - Data'!$B$3:$B$57,0),MATCH('balance sheet'!G$4,'Balance Sheet - Data'!$C$2:$D$2,0))</f>
        <v>177.9</v>
      </c>
      <c r="H40">
        <f>INDEX('Balance Sheet - Data'!$C$3:$D$57,MATCH('balance sheet'!$B40,'Balance Sheet - Data'!$B$3:$B$57,0),MATCH('balance sheet'!H$4,'Balance Sheet - Data'!$C$2:$D$2,0))</f>
        <v>162.9</v>
      </c>
      <c r="I40" s="37">
        <v>162.9</v>
      </c>
      <c r="J40" s="37">
        <v>162.9</v>
      </c>
      <c r="K40" s="37">
        <v>162.9</v>
      </c>
      <c r="L40" s="37">
        <v>162.9</v>
      </c>
      <c r="M40" s="37">
        <v>162.9</v>
      </c>
    </row>
    <row r="41" spans="2:13" x14ac:dyDescent="0.25">
      <c r="B41" s="5" t="s">
        <v>88</v>
      </c>
      <c r="G41">
        <f>INDEX('Balance Sheet - Data'!$C$3:$D$57,MATCH('balance sheet'!$B41,'Balance Sheet - Data'!$B$3:$B$57,0),MATCH('balance sheet'!G$4,'Balance Sheet - Data'!$C$2:$D$2,0))</f>
        <v>3.7</v>
      </c>
      <c r="H41">
        <f>INDEX('Balance Sheet - Data'!$C$3:$D$57,MATCH('balance sheet'!$B41,'Balance Sheet - Data'!$B$3:$B$57,0),MATCH('balance sheet'!H$4,'Balance Sheet - Data'!$C$2:$D$2,0))</f>
        <v>2.8</v>
      </c>
      <c r="I41" s="37">
        <v>2.8</v>
      </c>
      <c r="J41" s="37">
        <v>2.8</v>
      </c>
      <c r="K41" s="37">
        <v>2.8</v>
      </c>
      <c r="L41" s="37">
        <v>2.8</v>
      </c>
      <c r="M41" s="37">
        <v>2.8</v>
      </c>
    </row>
    <row r="42" spans="2:13" x14ac:dyDescent="0.25">
      <c r="B42" s="5" t="s">
        <v>76</v>
      </c>
      <c r="G42">
        <f>INDEX('Balance Sheet - Data'!$C$3:$D$57,MATCH('balance sheet'!$B42,'Balance Sheet - Data'!$B$3:$B$57,0),MATCH('balance sheet'!G$4,'Balance Sheet - Data'!$C$2:$D$2,0))</f>
        <v>17.100000000000001</v>
      </c>
      <c r="H42">
        <f>INDEX('Balance Sheet - Data'!$C$3:$D$57,MATCH('balance sheet'!$B42,'Balance Sheet - Data'!$B$3:$B$57,0),MATCH('balance sheet'!H$4,'Balance Sheet - Data'!$C$2:$D$2,0))</f>
        <v>18.5</v>
      </c>
      <c r="I42">
        <f>H42+'cash Flow'!E22</f>
        <v>17.5</v>
      </c>
      <c r="J42">
        <f>I42+'cash Flow'!F22</f>
        <v>16.5</v>
      </c>
      <c r="K42">
        <f>J42+'cash Flow'!G22</f>
        <v>15.5</v>
      </c>
      <c r="L42">
        <f>K42+'cash Flow'!H22</f>
        <v>14.5</v>
      </c>
      <c r="M42">
        <f>L42+'cash Flow'!I22</f>
        <v>13.5</v>
      </c>
    </row>
    <row r="43" spans="2:13" x14ac:dyDescent="0.25">
      <c r="B43" s="5" t="s">
        <v>77</v>
      </c>
      <c r="G43">
        <f>INDEX('Balance Sheet - Data'!$C$3:$D$57,MATCH('balance sheet'!$B43,'Balance Sheet - Data'!$B$3:$B$57,0),MATCH('balance sheet'!G$4,'Balance Sheet - Data'!$C$2:$D$2,0))</f>
        <v>58.1</v>
      </c>
      <c r="H43">
        <f>INDEX('Balance Sheet - Data'!$C$3:$D$57,MATCH('balance sheet'!$B43,'Balance Sheet - Data'!$B$3:$B$57,0),MATCH('balance sheet'!H$4,'Balance Sheet - Data'!$C$2:$D$2,0))</f>
        <v>45.6</v>
      </c>
      <c r="I43" s="37">
        <v>45.6</v>
      </c>
      <c r="J43" s="37">
        <v>45.6</v>
      </c>
      <c r="K43" s="37">
        <v>45.6</v>
      </c>
      <c r="L43" s="37">
        <v>45.6</v>
      </c>
      <c r="M43" s="37">
        <v>45.6</v>
      </c>
    </row>
    <row r="44" spans="2:13" x14ac:dyDescent="0.25">
      <c r="B44" s="5" t="s">
        <v>89</v>
      </c>
      <c r="G44">
        <f>INDEX('Balance Sheet - Data'!$C$3:$D$57,MATCH('balance sheet'!$B44,'Balance Sheet - Data'!$B$3:$B$57,0),MATCH('balance sheet'!G$4,'Balance Sheet - Data'!$C$2:$D$2,0))</f>
        <v>19.399999999999999</v>
      </c>
      <c r="H44">
        <f>INDEX('Balance Sheet - Data'!$C$3:$D$57,MATCH('balance sheet'!$B44,'Balance Sheet - Data'!$B$3:$B$57,0),MATCH('balance sheet'!H$4,'Balance Sheet - Data'!$C$2:$D$2,0))</f>
        <v>19.399999999999999</v>
      </c>
      <c r="I44" s="37">
        <v>19.399999999999999</v>
      </c>
      <c r="J44" s="37">
        <v>19.399999999999999</v>
      </c>
      <c r="K44" s="37">
        <v>19.399999999999999</v>
      </c>
      <c r="L44" s="37">
        <v>19.399999999999999</v>
      </c>
      <c r="M44" s="37">
        <v>19.399999999999999</v>
      </c>
    </row>
    <row r="45" spans="2:13" x14ac:dyDescent="0.25">
      <c r="B45" s="5" t="s">
        <v>78</v>
      </c>
      <c r="G45">
        <f>INDEX('Balance Sheet - Data'!$C$3:$D$57,MATCH('balance sheet'!$B45,'Balance Sheet - Data'!$B$3:$B$57,0),MATCH('balance sheet'!G$4,'Balance Sheet - Data'!$C$2:$D$2,0))</f>
        <v>163</v>
      </c>
      <c r="H45">
        <f>INDEX('Balance Sheet - Data'!$C$3:$D$57,MATCH('balance sheet'!$B45,'Balance Sheet - Data'!$B$3:$B$57,0),MATCH('balance sheet'!H$4,'Balance Sheet - Data'!$C$2:$D$2,0))</f>
        <v>166.1</v>
      </c>
      <c r="I45" s="37">
        <v>166.1</v>
      </c>
      <c r="J45" s="37">
        <v>166.1</v>
      </c>
      <c r="K45" s="37">
        <v>166.1</v>
      </c>
      <c r="L45" s="37">
        <v>166.1</v>
      </c>
      <c r="M45" s="37">
        <v>166.1</v>
      </c>
    </row>
    <row r="46" spans="2:13" x14ac:dyDescent="0.25">
      <c r="B46" s="12" t="s">
        <v>8</v>
      </c>
      <c r="C46" s="12"/>
      <c r="D46" s="12"/>
      <c r="E46" s="12"/>
      <c r="F46" s="12"/>
      <c r="G46" s="12">
        <f>SUM(G38:G45)</f>
        <v>954.6</v>
      </c>
      <c r="H46" s="12">
        <f>SUM(H38:H45)</f>
        <v>1621.1</v>
      </c>
      <c r="I46" s="12">
        <f t="shared" ref="I46:M46" si="5">SUM(I38:I45)</f>
        <v>1620.1</v>
      </c>
      <c r="J46" s="12">
        <f t="shared" si="5"/>
        <v>1619.1</v>
      </c>
      <c r="K46" s="12">
        <f t="shared" si="5"/>
        <v>1618.1</v>
      </c>
      <c r="L46" s="12">
        <f t="shared" si="5"/>
        <v>1617.1</v>
      </c>
      <c r="M46" s="12">
        <f t="shared" si="5"/>
        <v>1616.1</v>
      </c>
    </row>
    <row r="48" spans="2:13" x14ac:dyDescent="0.25">
      <c r="B48" s="12" t="s">
        <v>48</v>
      </c>
      <c r="C48" s="29"/>
      <c r="D48" s="29"/>
      <c r="E48" s="29"/>
      <c r="F48" s="29"/>
      <c r="G48" s="12">
        <f>SUM(G46,G35)</f>
        <v>2755.3</v>
      </c>
      <c r="H48" s="12">
        <f>SUM(H46,H35)</f>
        <v>3158.2</v>
      </c>
      <c r="I48" s="64">
        <f t="shared" ref="I48:M48" ca="1" si="6">SUM(I46,I35)</f>
        <v>3191.4173486735463</v>
      </c>
      <c r="J48" s="64">
        <f t="shared" ca="1" si="6"/>
        <v>3211.1665678250902</v>
      </c>
      <c r="K48" s="64">
        <f t="shared" ca="1" si="6"/>
        <v>3230.3498991815918</v>
      </c>
      <c r="L48" s="64">
        <f t="shared" ca="1" si="6"/>
        <v>3249.9368971652239</v>
      </c>
      <c r="M48" s="64">
        <f t="shared" ca="1" si="6"/>
        <v>3270.985572005693</v>
      </c>
    </row>
    <row r="50" spans="2:13" x14ac:dyDescent="0.25">
      <c r="B50" t="s">
        <v>79</v>
      </c>
      <c r="G50">
        <f>INDEX('Balance Sheet - Data'!$C$3:$D$57,MATCH('balance sheet'!$B50,'Balance Sheet - Data'!$B$3:$B$57,0),MATCH('balance sheet'!G$4,'Balance Sheet - Data'!$C$2:$D$2,0))</f>
        <v>694.4</v>
      </c>
      <c r="H50">
        <f>INDEX('Balance Sheet - Data'!$C$3:$D$57,MATCH('balance sheet'!$B50,'Balance Sheet - Data'!$B$3:$B$57,0),MATCH('balance sheet'!H$4,'Balance Sheet - Data'!$C$2:$D$2,0))</f>
        <v>694.4</v>
      </c>
      <c r="I50">
        <v>694.4</v>
      </c>
      <c r="J50">
        <v>694.4</v>
      </c>
      <c r="K50">
        <v>694.4</v>
      </c>
      <c r="L50">
        <v>694.4</v>
      </c>
      <c r="M50">
        <v>694.4</v>
      </c>
    </row>
    <row r="51" spans="2:13" x14ac:dyDescent="0.25">
      <c r="B51" s="5" t="s">
        <v>80</v>
      </c>
      <c r="G51">
        <f>INDEX('Balance Sheet - Data'!$C$3:$D$57,MATCH('balance sheet'!$B51,'Balance Sheet - Data'!$B$3:$B$57,0),MATCH('balance sheet'!G$4,'Balance Sheet - Data'!$C$2:$D$2,0))</f>
        <v>-1.6</v>
      </c>
      <c r="H51">
        <f>INDEX('Balance Sheet - Data'!$C$3:$D$57,MATCH('balance sheet'!$B51,'Balance Sheet - Data'!$B$3:$B$57,0),MATCH('balance sheet'!H$4,'Balance Sheet - Data'!$C$2:$D$2,0))</f>
        <v>-0.8</v>
      </c>
      <c r="I51">
        <v>-0.8</v>
      </c>
      <c r="J51">
        <v>-0.8</v>
      </c>
      <c r="K51">
        <v>-0.8</v>
      </c>
      <c r="L51">
        <v>-0.8</v>
      </c>
      <c r="M51">
        <v>-0.8</v>
      </c>
    </row>
    <row r="52" spans="2:13" x14ac:dyDescent="0.25">
      <c r="B52" s="5" t="s">
        <v>81</v>
      </c>
      <c r="G52">
        <f>INDEX('Balance Sheet - Data'!$C$3:$D$57,MATCH('balance sheet'!$B52,'Balance Sheet - Data'!$B$3:$B$57,0),MATCH('balance sheet'!G$4,'Balance Sheet - Data'!$C$2:$D$2,0))</f>
        <v>103.2</v>
      </c>
      <c r="H52">
        <f>INDEX('Balance Sheet - Data'!$C$3:$D$57,MATCH('balance sheet'!$B52,'Balance Sheet - Data'!$B$3:$B$57,0),MATCH('balance sheet'!H$4,'Balance Sheet - Data'!$C$2:$D$2,0))</f>
        <v>19.399999999999999</v>
      </c>
      <c r="I52">
        <v>19.399999999999999</v>
      </c>
      <c r="J52">
        <v>19.399999999999999</v>
      </c>
      <c r="K52">
        <v>19.399999999999999</v>
      </c>
      <c r="L52">
        <v>19.399999999999999</v>
      </c>
      <c r="M52">
        <v>19.399999999999999</v>
      </c>
    </row>
    <row r="53" spans="2:13" x14ac:dyDescent="0.25">
      <c r="B53" s="5" t="s">
        <v>82</v>
      </c>
      <c r="G53">
        <f>INDEX('Balance Sheet - Data'!$C$3:$D$57,MATCH('balance sheet'!$B53,'Balance Sheet - Data'!$B$3:$B$57,0),MATCH('balance sheet'!G$4,'Balance Sheet - Data'!$C$2:$D$2,0))</f>
        <v>-206.7</v>
      </c>
      <c r="H53">
        <f>INDEX('Balance Sheet - Data'!$C$3:$D$57,MATCH('balance sheet'!$B53,'Balance Sheet - Data'!$B$3:$B$57,0),MATCH('balance sheet'!H$4,'Balance Sheet - Data'!$C$2:$D$2,0))</f>
        <v>-179.6</v>
      </c>
      <c r="I53">
        <v>-179.6</v>
      </c>
      <c r="J53">
        <v>-179.6</v>
      </c>
      <c r="K53">
        <v>-179.6</v>
      </c>
      <c r="L53">
        <v>-179.6</v>
      </c>
      <c r="M53">
        <v>-179.6</v>
      </c>
    </row>
    <row r="54" spans="2:13" x14ac:dyDescent="0.25">
      <c r="B54" s="5" t="s">
        <v>83</v>
      </c>
      <c r="G54">
        <f>INDEX('Balance Sheet - Data'!$C$3:$D$57,MATCH('balance sheet'!$B54,'Balance Sheet - Data'!$B$3:$B$57,0),MATCH('balance sheet'!G$4,'Balance Sheet - Data'!$C$2:$D$2,0))</f>
        <v>2009.7</v>
      </c>
      <c r="H54">
        <f>INDEX('Balance Sheet - Data'!$C$3:$D$57,MATCH('balance sheet'!$B54,'Balance Sheet - Data'!$B$3:$B$57,0),MATCH('balance sheet'!H$4,'Balance Sheet - Data'!$C$2:$D$2,0))</f>
        <v>2062.1</v>
      </c>
      <c r="I54" s="1">
        <f ca="1">'retained earnings schedule'!D12</f>
        <v>2107.4273273717085</v>
      </c>
      <c r="J54" s="1">
        <f ca="1">'retained earnings schedule'!E12</f>
        <v>2149.9384247672338</v>
      </c>
      <c r="K54" s="1">
        <f ca="1">'retained earnings schedule'!F12</f>
        <v>2190.1533575368712</v>
      </c>
      <c r="L54" s="1">
        <f ca="1">'retained earnings schedule'!G12</f>
        <v>2228.6171489985804</v>
      </c>
      <c r="M54" s="1">
        <f ca="1">'retained earnings schedule'!H12</f>
        <v>2265.9106951836256</v>
      </c>
    </row>
    <row r="55" spans="2:13" x14ac:dyDescent="0.25">
      <c r="B55" s="5" t="s">
        <v>49</v>
      </c>
      <c r="G55">
        <f>INDEX('Balance Sheet - Data'!$C$3:$D$57,MATCH('balance sheet'!$B55,'Balance Sheet - Data'!$B$3:$B$57,0),MATCH('balance sheet'!G$4,'Balance Sheet - Data'!$C$2:$D$2,0))</f>
        <v>0</v>
      </c>
      <c r="H55">
        <f>INDEX('Balance Sheet - Data'!$C$3:$D$57,MATCH('balance sheet'!$B55,'Balance Sheet - Data'!$B$3:$B$57,0),MATCH('balance sheet'!H$4,'Balance Sheet - Data'!$C$2:$D$2,0))</f>
        <v>0</v>
      </c>
    </row>
    <row r="56" spans="2:13" x14ac:dyDescent="0.25">
      <c r="B56" s="5" t="s">
        <v>84</v>
      </c>
      <c r="G56">
        <f>INDEX('Balance Sheet - Data'!$C$3:$D$57,MATCH('balance sheet'!$B56,'Balance Sheet - Data'!$B$3:$B$57,0),MATCH('balance sheet'!G$4,'Balance Sheet - Data'!$C$2:$D$2,0))</f>
        <v>426.6</v>
      </c>
      <c r="H56">
        <f>INDEX('Balance Sheet - Data'!$C$3:$D$57,MATCH('balance sheet'!$B56,'Balance Sheet - Data'!$B$3:$B$57,0),MATCH('balance sheet'!H$4,'Balance Sheet - Data'!$C$2:$D$2,0))</f>
        <v>385.2</v>
      </c>
      <c r="I56" s="37">
        <f ca="1">'non-controlling interests '!D9</f>
        <v>383.59024444848143</v>
      </c>
      <c r="J56" s="37">
        <f ca="1">'non-controlling interests '!E9</f>
        <v>382.08050454097679</v>
      </c>
      <c r="K56" s="37">
        <f ca="1">'non-controlling interests '!F9</f>
        <v>380.65231066691484</v>
      </c>
      <c r="L56" s="37">
        <f ca="1">'non-controlling interests '!G9</f>
        <v>379.2863068579943</v>
      </c>
      <c r="M56" s="37">
        <f ca="1">'non-controlling interests '!H9</f>
        <v>377.96186316170298</v>
      </c>
    </row>
    <row r="57" spans="2:13" x14ac:dyDescent="0.25">
      <c r="B57" s="12" t="s">
        <v>50</v>
      </c>
      <c r="C57" s="12"/>
      <c r="D57" s="12"/>
      <c r="E57" s="12"/>
      <c r="F57" s="12"/>
      <c r="G57" s="12">
        <f>SUM(G50:G56)</f>
        <v>3025.6</v>
      </c>
      <c r="H57" s="12">
        <f>SUM(H50:H56)</f>
        <v>2980.7</v>
      </c>
      <c r="I57" s="64">
        <f t="shared" ref="I57:M57" ca="1" si="7">SUM(I50:I56)</f>
        <v>3024.41757182019</v>
      </c>
      <c r="J57" s="64">
        <f t="shared" ca="1" si="7"/>
        <v>3065.4189293082109</v>
      </c>
      <c r="K57" s="64">
        <f t="shared" ca="1" si="7"/>
        <v>3104.205668203786</v>
      </c>
      <c r="L57" s="64">
        <f t="shared" ca="1" si="7"/>
        <v>3141.3034558565751</v>
      </c>
      <c r="M57" s="64">
        <f t="shared" ca="1" si="7"/>
        <v>3177.2725583453289</v>
      </c>
    </row>
    <row r="59" spans="2:13" x14ac:dyDescent="0.25">
      <c r="B59" s="28" t="s">
        <v>51</v>
      </c>
      <c r="C59" s="28"/>
      <c r="D59" s="28"/>
      <c r="E59" s="28"/>
      <c r="F59" s="28"/>
      <c r="G59" s="58">
        <f>SUM(G57,G48)</f>
        <v>5780.9</v>
      </c>
      <c r="H59" s="58">
        <f>SUM(H57,H48)</f>
        <v>6138.9</v>
      </c>
      <c r="I59" s="58">
        <f t="shared" ref="I59:M59" ca="1" si="8">SUM(I57,I48)</f>
        <v>6215.8349204937367</v>
      </c>
      <c r="J59" s="58">
        <f t="shared" ca="1" si="8"/>
        <v>6276.585497133301</v>
      </c>
      <c r="K59" s="58">
        <f t="shared" ca="1" si="8"/>
        <v>6334.5555673853778</v>
      </c>
      <c r="L59" s="58">
        <f t="shared" ca="1" si="8"/>
        <v>6391.2403530217989</v>
      </c>
      <c r="M59" s="58">
        <f t="shared" ca="1" si="8"/>
        <v>6448.2581303510215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EF0D-EDA1-478D-A8A1-E2EE128C08F8}">
  <dimension ref="B1:I14"/>
  <sheetViews>
    <sheetView workbookViewId="0">
      <selection activeCell="B11" sqref="B11"/>
    </sheetView>
  </sheetViews>
  <sheetFormatPr defaultRowHeight="15" x14ac:dyDescent="0.25"/>
  <cols>
    <col min="2" max="2" width="39.85546875" bestFit="1" customWidth="1"/>
    <col min="3" max="10" width="9.7109375" bestFit="1" customWidth="1"/>
  </cols>
  <sheetData>
    <row r="1" spans="2:9" x14ac:dyDescent="0.25">
      <c r="B1" s="41" t="s">
        <v>131</v>
      </c>
      <c r="C1" s="49" t="s">
        <v>132</v>
      </c>
      <c r="D1" s="49"/>
      <c r="E1" s="117" t="s">
        <v>100</v>
      </c>
      <c r="F1" s="117"/>
      <c r="G1" s="117"/>
      <c r="H1" s="117"/>
      <c r="I1" s="117"/>
    </row>
    <row r="2" spans="2:9" x14ac:dyDescent="0.25">
      <c r="B2" s="41" t="s">
        <v>101</v>
      </c>
      <c r="C2" s="42">
        <v>2024</v>
      </c>
      <c r="D2" s="42">
        <f>C2+1</f>
        <v>2025</v>
      </c>
      <c r="E2" s="42">
        <f t="shared" ref="E2:I2" si="0">D2+1</f>
        <v>2026</v>
      </c>
      <c r="F2" s="42">
        <f t="shared" si="0"/>
        <v>2027</v>
      </c>
      <c r="G2" s="42">
        <f t="shared" si="0"/>
        <v>2028</v>
      </c>
      <c r="H2" s="42">
        <f t="shared" si="0"/>
        <v>2029</v>
      </c>
      <c r="I2" s="42">
        <f t="shared" si="0"/>
        <v>2030</v>
      </c>
    </row>
    <row r="3" spans="2:9" x14ac:dyDescent="0.25">
      <c r="B3" t="s">
        <v>133</v>
      </c>
      <c r="C3" s="31">
        <v>2012.1</v>
      </c>
      <c r="D3" s="1">
        <f>C6</f>
        <v>2129.6</v>
      </c>
      <c r="E3" s="43">
        <f>D6</f>
        <v>2339.3000000000002</v>
      </c>
      <c r="F3" s="43">
        <f ca="1">E6</f>
        <v>2533.128885368812</v>
      </c>
      <c r="G3" s="43">
        <f t="shared" ref="G3:I3" ca="1" si="1">F6</f>
        <v>2705.6379247288678</v>
      </c>
      <c r="H3" s="43">
        <f t="shared" ca="1" si="1"/>
        <v>2860.2213756831115</v>
      </c>
      <c r="I3" s="43">
        <f t="shared" ca="1" si="1"/>
        <v>3000.2707205329752</v>
      </c>
    </row>
    <row r="4" spans="2:9" x14ac:dyDescent="0.25">
      <c r="B4" t="s">
        <v>134</v>
      </c>
      <c r="C4" s="6">
        <f>'balance sheet'!G17-C3+(-C5)</f>
        <v>477.6</v>
      </c>
      <c r="D4" s="6">
        <f>'balance sheet'!H17-D3+(-D5)</f>
        <v>583.3000000000003</v>
      </c>
      <c r="E4" s="6">
        <f ca="1">D4*(1+'Profit &amp; loss'!E46)</f>
        <v>604.21697702921779</v>
      </c>
      <c r="F4" s="6">
        <f ca="1">E4*(1+'Profit &amp; loss'!F46)</f>
        <v>616.90092120349527</v>
      </c>
      <c r="G4" s="6">
        <f ca="1">F4*(1+'Profit &amp; loss'!G46)</f>
        <v>629.23893962756517</v>
      </c>
      <c r="H4" s="6">
        <f ca="1">G4*(1+'Profit &amp; loss'!H46)</f>
        <v>641.82371842011651</v>
      </c>
      <c r="I4" s="6">
        <f ca="1">H4*(1+'Profit &amp; loss'!I46)</f>
        <v>655.30201650693891</v>
      </c>
    </row>
    <row r="5" spans="2:9" x14ac:dyDescent="0.25">
      <c r="B5" t="s">
        <v>135</v>
      </c>
      <c r="C5" s="50">
        <v>-360.1</v>
      </c>
      <c r="D5" s="50">
        <v>-373.6</v>
      </c>
      <c r="E5" s="50">
        <f>E3*E9</f>
        <v>-410.38809166040579</v>
      </c>
      <c r="F5" s="50">
        <f ca="1">F3*F9</f>
        <v>-444.39188184343925</v>
      </c>
      <c r="G5" s="50">
        <f ca="1">G3*G9</f>
        <v>-474.65548867332132</v>
      </c>
      <c r="H5" s="50">
        <f t="shared" ref="H5:I5" ca="1" si="2">H3*H9</f>
        <v>-501.77437357025292</v>
      </c>
      <c r="I5" s="50">
        <f t="shared" ca="1" si="2"/>
        <v>-526.34351107772329</v>
      </c>
    </row>
    <row r="6" spans="2:9" x14ac:dyDescent="0.25">
      <c r="B6" s="30" t="s">
        <v>136</v>
      </c>
      <c r="C6" s="51">
        <f>SUM(C3:C5)</f>
        <v>2129.6</v>
      </c>
      <c r="D6" s="51">
        <f>SUM(D3:D5)</f>
        <v>2339.3000000000002</v>
      </c>
      <c r="E6" s="51">
        <f ca="1">SUM(E3:E5)</f>
        <v>2533.128885368812</v>
      </c>
      <c r="F6" s="45">
        <f ca="1">SUM(F3:F5)</f>
        <v>2705.6379247288678</v>
      </c>
      <c r="G6" s="45">
        <f t="shared" ref="G6:I6" ca="1" si="3">SUM(G3:G5)</f>
        <v>2860.2213756831115</v>
      </c>
      <c r="H6" s="45">
        <f t="shared" ca="1" si="3"/>
        <v>3000.2707205329752</v>
      </c>
      <c r="I6" s="45">
        <f t="shared" ca="1" si="3"/>
        <v>3129.2292259621909</v>
      </c>
    </row>
    <row r="8" spans="2:9" x14ac:dyDescent="0.25">
      <c r="B8" s="32" t="s">
        <v>137</v>
      </c>
      <c r="C8" s="33"/>
      <c r="D8" s="33"/>
      <c r="E8" s="33"/>
      <c r="F8" s="33"/>
    </row>
    <row r="9" spans="2:9" x14ac:dyDescent="0.25">
      <c r="B9" s="33" t="s">
        <v>142</v>
      </c>
      <c r="C9" s="52">
        <f>C5/C3</f>
        <v>-0.17896724814870038</v>
      </c>
      <c r="D9" s="52">
        <f t="shared" ref="D9" si="4">D5/D3</f>
        <v>-0.17543200601051842</v>
      </c>
      <c r="E9" s="52">
        <v>-0.17543200601051842</v>
      </c>
      <c r="F9" s="52">
        <v>-0.17543200601051842</v>
      </c>
      <c r="G9" s="52">
        <v>-0.17543200601051842</v>
      </c>
      <c r="H9" s="52">
        <v>-0.17543200601051842</v>
      </c>
      <c r="I9" s="52">
        <v>-0.17543200601051842</v>
      </c>
    </row>
    <row r="11" spans="2:9" x14ac:dyDescent="0.25">
      <c r="B11" s="42" t="s">
        <v>138</v>
      </c>
      <c r="C11" s="53"/>
      <c r="D11" s="53"/>
      <c r="E11" s="53"/>
      <c r="F11" s="53"/>
    </row>
    <row r="12" spans="2:9" x14ac:dyDescent="0.25">
      <c r="B12" t="s">
        <v>139</v>
      </c>
      <c r="C12" s="43">
        <f>('Profit &amp; loss'!C32-'Fixed assets schedule'!C5)</f>
        <v>-8.2999999999999545</v>
      </c>
      <c r="D12" s="43">
        <f>('Profit &amp; loss'!D32-'Fixed assets schedule'!D5)</f>
        <v>-26</v>
      </c>
      <c r="E12" s="43">
        <f>E13*'Profit &amp; loss'!E12</f>
        <v>-26.932352824892263</v>
      </c>
      <c r="F12" s="43">
        <f>F13*'Profit &amp; loss'!F12</f>
        <v>-27.497726643735422</v>
      </c>
      <c r="G12" s="43">
        <f>G13*'Profit &amp; loss'!G12</f>
        <v>-28.04768117661013</v>
      </c>
      <c r="H12" s="43">
        <f>H13*'Profit &amp; loss'!H12</f>
        <v>-28.608634800142333</v>
      </c>
      <c r="I12" s="43">
        <f>I13*'Profit &amp; loss'!I12</f>
        <v>-29.209416130945321</v>
      </c>
    </row>
    <row r="13" spans="2:9" x14ac:dyDescent="0.25">
      <c r="B13" t="s">
        <v>140</v>
      </c>
      <c r="C13" s="54">
        <f>C12/'Profit &amp; loss'!C12</f>
        <v>-1.8541271082318674E-3</v>
      </c>
      <c r="D13" s="54">
        <f>D12/'Profit &amp; loss'!D12</f>
        <v>-5.1397619894832563E-3</v>
      </c>
      <c r="E13" s="54">
        <v>-5.1397619894832563E-3</v>
      </c>
      <c r="F13" s="54">
        <v>-5.1397619894832563E-3</v>
      </c>
      <c r="G13" s="54">
        <v>-5.1397619894832563E-3</v>
      </c>
      <c r="H13" s="54">
        <v>-5.1397619894832563E-3</v>
      </c>
      <c r="I13" s="54">
        <v>-5.1397619894832563E-3</v>
      </c>
    </row>
    <row r="14" spans="2:9" x14ac:dyDescent="0.25">
      <c r="B14" s="30" t="s">
        <v>141</v>
      </c>
      <c r="C14" s="113">
        <f>'Profit &amp; loss'!C32</f>
        <v>-368.4</v>
      </c>
      <c r="D14" s="113">
        <f>'Profit &amp; loss'!D32</f>
        <v>-399.6</v>
      </c>
      <c r="E14" s="113">
        <f>E12+E5</f>
        <v>-437.32044448529803</v>
      </c>
      <c r="F14" s="113">
        <f t="shared" ref="F14:I14" ca="1" si="5">F12+F5</f>
        <v>-471.88960848717466</v>
      </c>
      <c r="G14" s="113">
        <f t="shared" ca="1" si="5"/>
        <v>-502.70316984993144</v>
      </c>
      <c r="H14" s="113">
        <f t="shared" ca="1" si="5"/>
        <v>-530.38300837039526</v>
      </c>
      <c r="I14" s="113">
        <f t="shared" ca="1" si="5"/>
        <v>-555.55292720866862</v>
      </c>
    </row>
  </sheetData>
  <mergeCells count="1">
    <mergeCell ref="E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FA31-DA3A-4B07-A10D-737C6A149ACB}">
  <dimension ref="A1:H13"/>
  <sheetViews>
    <sheetView workbookViewId="0">
      <selection activeCell="H10" sqref="H10"/>
    </sheetView>
  </sheetViews>
  <sheetFormatPr defaultRowHeight="15" x14ac:dyDescent="0.25"/>
  <cols>
    <col min="1" max="1" width="57.85546875" bestFit="1" customWidth="1"/>
    <col min="3" max="3" width="6.140625" bestFit="1" customWidth="1"/>
  </cols>
  <sheetData>
    <row r="1" spans="1:8" x14ac:dyDescent="0.25">
      <c r="A1" s="41" t="s">
        <v>143</v>
      </c>
      <c r="B1" s="49" t="s">
        <v>132</v>
      </c>
      <c r="C1" s="49"/>
      <c r="D1" s="117" t="s">
        <v>100</v>
      </c>
      <c r="E1" s="117"/>
      <c r="F1" s="117"/>
      <c r="G1" s="117"/>
      <c r="H1" s="117"/>
    </row>
    <row r="2" spans="1:8" x14ac:dyDescent="0.25">
      <c r="A2" s="41" t="s">
        <v>101</v>
      </c>
      <c r="B2" s="42">
        <v>2024</v>
      </c>
      <c r="C2" s="42">
        <f>B2+1</f>
        <v>2025</v>
      </c>
      <c r="D2" s="42">
        <f t="shared" ref="D2:H2" si="0">C2+1</f>
        <v>2026</v>
      </c>
      <c r="E2" s="42">
        <f t="shared" si="0"/>
        <v>2027</v>
      </c>
      <c r="F2" s="42">
        <f t="shared" si="0"/>
        <v>2028</v>
      </c>
      <c r="G2" s="42">
        <f t="shared" si="0"/>
        <v>2029</v>
      </c>
      <c r="H2" s="42">
        <f t="shared" si="0"/>
        <v>2030</v>
      </c>
    </row>
    <row r="3" spans="1:8" x14ac:dyDescent="0.25">
      <c r="A3" t="s">
        <v>144</v>
      </c>
      <c r="B3" s="31">
        <v>2004.7</v>
      </c>
      <c r="C3" s="31">
        <v>2009.7</v>
      </c>
      <c r="D3" s="43">
        <f>C12</f>
        <v>2062.1</v>
      </c>
      <c r="E3" s="43">
        <f ca="1">D12</f>
        <v>2107.4273273717085</v>
      </c>
      <c r="F3" s="43">
        <f t="shared" ref="F3:H3" ca="1" si="1">E12</f>
        <v>2149.9384247672338</v>
      </c>
      <c r="G3" s="43">
        <f t="shared" ca="1" si="1"/>
        <v>2190.1533575368712</v>
      </c>
      <c r="H3" s="43">
        <f t="shared" ca="1" si="1"/>
        <v>2228.6171489985804</v>
      </c>
    </row>
    <row r="4" spans="1:8" x14ac:dyDescent="0.25">
      <c r="A4" t="s">
        <v>0</v>
      </c>
      <c r="B4" s="6">
        <f>'Profit &amp; loss'!C41</f>
        <v>255.7000000000001</v>
      </c>
      <c r="C4" s="6">
        <f>'Profit &amp; loss'!D41</f>
        <v>271.90000000000009</v>
      </c>
      <c r="D4" s="6">
        <f ca="1">'Profit &amp; loss'!E41</f>
        <v>230.364491819954</v>
      </c>
      <c r="E4" s="6">
        <f ca="1">'Profit &amp; loss'!F41</f>
        <v>216.05172676342448</v>
      </c>
      <c r="F4" s="6">
        <f ca="1">'Profit &amp; loss'!G41</f>
        <v>204.38206018812204</v>
      </c>
      <c r="G4" s="6">
        <f ca="1">'Profit &amp; loss'!H41</f>
        <v>195.48233455025627</v>
      </c>
      <c r="H4" s="6">
        <f ca="1">'Profit &amp; loss'!I41</f>
        <v>189.53486369558365</v>
      </c>
    </row>
    <row r="5" spans="1:8" x14ac:dyDescent="0.25">
      <c r="A5" t="s">
        <v>150</v>
      </c>
      <c r="B5" s="59">
        <v>-45.2</v>
      </c>
      <c r="C5" s="59">
        <v>-41.6</v>
      </c>
      <c r="D5" s="6">
        <f ca="1">(C5/C4)*D4</f>
        <v>-35.245174180618179</v>
      </c>
      <c r="E5" s="6">
        <f ca="1">(D5/D4)*E4</f>
        <v>-33.05535797483801</v>
      </c>
      <c r="F5" s="6">
        <f t="shared" ref="F5:H5" ca="1" si="2">(E5/E4)*F4</f>
        <v>-31.269929032092218</v>
      </c>
      <c r="G5" s="6">
        <f t="shared" ca="1" si="2"/>
        <v>-29.908293921628015</v>
      </c>
      <c r="H5" s="6">
        <f t="shared" ca="1" si="2"/>
        <v>-28.998346192483549</v>
      </c>
    </row>
    <row r="6" spans="1:8" x14ac:dyDescent="0.25">
      <c r="A6" t="s">
        <v>151</v>
      </c>
      <c r="B6" s="6">
        <f>SUM(B4:B5)</f>
        <v>210.50000000000011</v>
      </c>
      <c r="C6" s="6">
        <f>SUM(C4:C5)</f>
        <v>230.3000000000001</v>
      </c>
      <c r="D6" s="6">
        <f t="shared" ref="D6:H6" ca="1" si="3">SUM(D4:D5)</f>
        <v>195.1193176393358</v>
      </c>
      <c r="E6" s="6">
        <f t="shared" ca="1" si="3"/>
        <v>182.99636878858647</v>
      </c>
      <c r="F6" s="6">
        <f t="shared" ca="1" si="3"/>
        <v>173.11213115602982</v>
      </c>
      <c r="G6" s="6">
        <f t="shared" ca="1" si="3"/>
        <v>165.57404062862827</v>
      </c>
      <c r="H6" s="6">
        <f t="shared" ca="1" si="3"/>
        <v>160.5365175031001</v>
      </c>
    </row>
    <row r="7" spans="1:8" x14ac:dyDescent="0.25">
      <c r="A7" t="s">
        <v>149</v>
      </c>
      <c r="B7" s="59">
        <v>30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8" x14ac:dyDescent="0.25">
      <c r="A8" t="s">
        <v>152</v>
      </c>
      <c r="B8" s="59">
        <v>1</v>
      </c>
      <c r="C8" s="59">
        <v>-1.1000000000000001</v>
      </c>
      <c r="D8" s="6">
        <v>0</v>
      </c>
      <c r="E8" s="6">
        <v>0</v>
      </c>
      <c r="F8" s="6">
        <v>0</v>
      </c>
      <c r="G8" s="6">
        <v>0</v>
      </c>
      <c r="H8" s="6">
        <v>0</v>
      </c>
    </row>
    <row r="9" spans="1:8" x14ac:dyDescent="0.25">
      <c r="A9" t="s">
        <v>148</v>
      </c>
      <c r="B9" s="59">
        <v>-79.3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</row>
    <row r="10" spans="1:8" x14ac:dyDescent="0.25">
      <c r="A10" t="s">
        <v>147</v>
      </c>
      <c r="B10" s="59">
        <v>0.5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 x14ac:dyDescent="0.25">
      <c r="A11" t="s">
        <v>146</v>
      </c>
      <c r="B11" s="50">
        <v>-157.69999999999999</v>
      </c>
      <c r="C11" s="50">
        <v>-176.8</v>
      </c>
      <c r="D11" s="56">
        <f ca="1">(C11/C4)*D4</f>
        <v>-149.79199026762726</v>
      </c>
      <c r="E11" s="56">
        <f ca="1">(D11/D4)*E4</f>
        <v>-140.48527139306154</v>
      </c>
      <c r="F11" s="56">
        <f t="shared" ref="F11:H11" ca="1" si="4">(E11/E4)*F4</f>
        <v>-132.89719838639189</v>
      </c>
      <c r="G11" s="56">
        <f t="shared" ca="1" si="4"/>
        <v>-127.11024916691905</v>
      </c>
      <c r="H11" s="56">
        <f t="shared" ca="1" si="4"/>
        <v>-123.24297131805507</v>
      </c>
    </row>
    <row r="12" spans="1:8" x14ac:dyDescent="0.25">
      <c r="A12" s="30" t="s">
        <v>145</v>
      </c>
      <c r="B12" s="51">
        <f>SUM(B3,B6:B11)</f>
        <v>2009.7</v>
      </c>
      <c r="C12" s="51">
        <f>SUM(C3,C6:C11)</f>
        <v>2062.1</v>
      </c>
      <c r="D12" s="51">
        <f ca="1">SUM(D3,D6:D11)</f>
        <v>2107.4273273717085</v>
      </c>
      <c r="E12" s="51">
        <f ca="1">SUM(E3,E6:E11)</f>
        <v>2149.9384247672338</v>
      </c>
      <c r="F12" s="51">
        <f t="shared" ref="F12:H12" ca="1" si="5">SUM(F3,F6:F11)</f>
        <v>2190.1533575368712</v>
      </c>
      <c r="G12" s="51">
        <f t="shared" ca="1" si="5"/>
        <v>2228.6171489985804</v>
      </c>
      <c r="H12" s="51">
        <f t="shared" ca="1" si="5"/>
        <v>2265.9106951836256</v>
      </c>
    </row>
    <row r="13" spans="1:8" x14ac:dyDescent="0.25">
      <c r="B13" s="60"/>
      <c r="C13" s="60"/>
    </row>
  </sheetData>
  <mergeCells count="1">
    <mergeCell ref="D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29E6-C101-4158-97C4-51C080E9200C}">
  <dimension ref="A1:H9"/>
  <sheetViews>
    <sheetView workbookViewId="0">
      <selection activeCell="D1" sqref="D1:H2"/>
    </sheetView>
  </sheetViews>
  <sheetFormatPr defaultRowHeight="15" x14ac:dyDescent="0.25"/>
  <cols>
    <col min="1" max="1" width="57.85546875" bestFit="1" customWidth="1"/>
  </cols>
  <sheetData>
    <row r="1" spans="1:8" x14ac:dyDescent="0.25">
      <c r="A1" s="41" t="s">
        <v>153</v>
      </c>
      <c r="B1" s="49" t="s">
        <v>132</v>
      </c>
      <c r="C1" s="49"/>
      <c r="D1" s="117" t="s">
        <v>100</v>
      </c>
      <c r="E1" s="117"/>
      <c r="F1" s="117"/>
      <c r="G1" s="117"/>
      <c r="H1" s="117"/>
    </row>
    <row r="2" spans="1:8" x14ac:dyDescent="0.25">
      <c r="A2" s="41" t="s">
        <v>101</v>
      </c>
      <c r="B2" s="42">
        <v>2024</v>
      </c>
      <c r="C2" s="42">
        <f>B2+1</f>
        <v>2025</v>
      </c>
      <c r="D2" s="42">
        <f t="shared" ref="D2:E2" si="0">C2+1</f>
        <v>2026</v>
      </c>
      <c r="E2" s="42">
        <f t="shared" si="0"/>
        <v>2027</v>
      </c>
      <c r="F2" s="42">
        <f t="shared" ref="F2" si="1">E2+1</f>
        <v>2028</v>
      </c>
      <c r="G2" s="42">
        <f t="shared" ref="G2" si="2">F2+1</f>
        <v>2029</v>
      </c>
      <c r="H2" s="42">
        <f t="shared" ref="H2" si="3">G2+1</f>
        <v>2030</v>
      </c>
    </row>
    <row r="3" spans="1:8" x14ac:dyDescent="0.25">
      <c r="A3" t="s">
        <v>154</v>
      </c>
      <c r="B3" s="31">
        <v>416.2</v>
      </c>
      <c r="C3" s="31">
        <v>426.6</v>
      </c>
      <c r="D3" s="43">
        <f>C9</f>
        <v>385.20000000000005</v>
      </c>
      <c r="E3" s="43">
        <f ca="1">D9</f>
        <v>383.59024444848143</v>
      </c>
      <c r="F3" s="43">
        <f t="shared" ref="F3:H3" ca="1" si="4">E9</f>
        <v>382.08050454097679</v>
      </c>
      <c r="G3" s="43">
        <f t="shared" ca="1" si="4"/>
        <v>380.65231066691484</v>
      </c>
      <c r="H3" s="43">
        <f t="shared" ca="1" si="4"/>
        <v>379.2863068579943</v>
      </c>
    </row>
    <row r="4" spans="1:8" x14ac:dyDescent="0.25">
      <c r="A4" t="s">
        <v>0</v>
      </c>
      <c r="B4" s="6">
        <f>-'retained earnings schedule'!B5</f>
        <v>45.2</v>
      </c>
      <c r="C4" s="6">
        <f>-'retained earnings schedule'!C5</f>
        <v>41.6</v>
      </c>
      <c r="D4" s="6">
        <f ca="1">(C4/'Profit &amp; loss'!D41)*'Profit &amp; loss'!E41</f>
        <v>35.245174180618179</v>
      </c>
      <c r="E4" s="6">
        <f ca="1">(D4/'Profit &amp; loss'!E41)*'Profit &amp; loss'!F41</f>
        <v>33.05535797483801</v>
      </c>
      <c r="F4" s="6">
        <f ca="1">(E4/'Profit &amp; loss'!F41)*'Profit &amp; loss'!G41</f>
        <v>31.269929032092218</v>
      </c>
      <c r="G4" s="6">
        <f ca="1">(F4/'Profit &amp; loss'!G41)*'Profit &amp; loss'!H41</f>
        <v>29.908293921628015</v>
      </c>
      <c r="H4" s="6">
        <f ca="1">(G4/'Profit &amp; loss'!H41)*'Profit &amp; loss'!I41</f>
        <v>28.998346192483549</v>
      </c>
    </row>
    <row r="5" spans="1:8" x14ac:dyDescent="0.25">
      <c r="A5" t="s">
        <v>156</v>
      </c>
      <c r="B5" s="59">
        <v>1.3</v>
      </c>
      <c r="C5" s="59">
        <v>-2.5</v>
      </c>
      <c r="D5" s="59">
        <v>0</v>
      </c>
      <c r="E5" s="59">
        <v>0</v>
      </c>
      <c r="F5" s="59">
        <v>0</v>
      </c>
      <c r="G5" s="59">
        <v>0</v>
      </c>
      <c r="H5" s="59">
        <v>0</v>
      </c>
    </row>
    <row r="6" spans="1:8" x14ac:dyDescent="0.25">
      <c r="A6" t="s">
        <v>155</v>
      </c>
      <c r="B6" s="59">
        <v>-32.6</v>
      </c>
      <c r="C6" s="59">
        <v>-43.5</v>
      </c>
      <c r="D6" s="6">
        <f ca="1">(C6/'Profit &amp; loss'!D41)*'Profit &amp; loss'!E41</f>
        <v>-36.854929732136796</v>
      </c>
      <c r="E6" s="6">
        <f ca="1">(D6/'Profit &amp; loss'!E41)*'Profit &amp; loss'!F41</f>
        <v>-34.565097882342627</v>
      </c>
      <c r="F6" s="6">
        <f ca="1">(E6/'Profit &amp; loss'!F41)*'Profit &amp; loss'!G41</f>
        <v>-32.698122906154119</v>
      </c>
      <c r="G6" s="6">
        <f ca="1">(F6/'Profit &amp; loss'!G41)*'Profit &amp; loss'!H41</f>
        <v>-31.274297730548525</v>
      </c>
      <c r="H6" s="6">
        <f ca="1">(G6/'Profit &amp; loss'!H41)*'Profit &amp; loss'!I41</f>
        <v>-30.322789888774864</v>
      </c>
    </row>
    <row r="7" spans="1:8" x14ac:dyDescent="0.25">
      <c r="A7" t="s">
        <v>157</v>
      </c>
      <c r="B7" s="59"/>
      <c r="C7" s="6">
        <v>-39.1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8" x14ac:dyDescent="0.25">
      <c r="A8" t="s">
        <v>152</v>
      </c>
      <c r="B8" s="59">
        <v>-3.5</v>
      </c>
      <c r="C8" s="6">
        <v>2.1</v>
      </c>
      <c r="D8" s="6">
        <v>0</v>
      </c>
      <c r="E8" s="6">
        <v>0</v>
      </c>
      <c r="F8" s="6">
        <v>0</v>
      </c>
      <c r="G8" s="6">
        <v>0</v>
      </c>
      <c r="H8" s="6">
        <v>0</v>
      </c>
    </row>
    <row r="9" spans="1:8" x14ac:dyDescent="0.25">
      <c r="A9" s="61" t="s">
        <v>158</v>
      </c>
      <c r="B9" s="61">
        <f>SUM(B3:B8)</f>
        <v>426.59999999999997</v>
      </c>
      <c r="C9" s="61">
        <f>SUM(C3:C8)</f>
        <v>385.20000000000005</v>
      </c>
      <c r="D9" s="62">
        <f t="shared" ref="D9:H9" ca="1" si="5">SUM(D3:D8)</f>
        <v>383.59024444848143</v>
      </c>
      <c r="E9" s="62">
        <f t="shared" ca="1" si="5"/>
        <v>382.08050454097679</v>
      </c>
      <c r="F9" s="62">
        <f t="shared" ca="1" si="5"/>
        <v>380.65231066691484</v>
      </c>
      <c r="G9" s="62">
        <f t="shared" ca="1" si="5"/>
        <v>379.2863068579943</v>
      </c>
      <c r="H9" s="62">
        <f t="shared" ca="1" si="5"/>
        <v>377.96186316170298</v>
      </c>
    </row>
  </sheetData>
  <mergeCells count="1">
    <mergeCell ref="D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B673-D0FC-47F3-8A99-0E5E40E232C3}">
  <dimension ref="A1:H13"/>
  <sheetViews>
    <sheetView workbookViewId="0">
      <selection activeCell="D12" sqref="D12"/>
    </sheetView>
  </sheetViews>
  <sheetFormatPr defaultRowHeight="15" x14ac:dyDescent="0.25"/>
  <cols>
    <col min="1" max="1" width="57.85546875" bestFit="1" customWidth="1"/>
  </cols>
  <sheetData>
    <row r="1" spans="1:8" x14ac:dyDescent="0.25">
      <c r="A1" s="41" t="s">
        <v>168</v>
      </c>
      <c r="B1" s="117" t="s">
        <v>132</v>
      </c>
      <c r="C1" s="117"/>
      <c r="D1" s="117" t="s">
        <v>100</v>
      </c>
      <c r="E1" s="117"/>
      <c r="F1" s="117"/>
      <c r="G1" s="117"/>
      <c r="H1" s="117"/>
    </row>
    <row r="2" spans="1:8" x14ac:dyDescent="0.25">
      <c r="A2" s="41" t="s">
        <v>101</v>
      </c>
      <c r="B2" s="42">
        <v>2024</v>
      </c>
      <c r="C2" s="42">
        <f>B2+1</f>
        <v>2025</v>
      </c>
      <c r="D2" s="42">
        <f>C2+1</f>
        <v>2026</v>
      </c>
      <c r="E2" s="42">
        <f t="shared" ref="E2" si="0">D2+1</f>
        <v>2027</v>
      </c>
      <c r="F2" s="42">
        <f t="shared" ref="F2" si="1">E2+1</f>
        <v>2028</v>
      </c>
      <c r="G2" s="42">
        <f t="shared" ref="G2" si="2">F2+1</f>
        <v>2029</v>
      </c>
      <c r="H2" s="42">
        <f t="shared" ref="H2" si="3">G2+1</f>
        <v>2030</v>
      </c>
    </row>
    <row r="3" spans="1:8" x14ac:dyDescent="0.25">
      <c r="A3" t="s">
        <v>169</v>
      </c>
      <c r="B3" s="31">
        <f>234.9+115.4</f>
        <v>350.3</v>
      </c>
      <c r="C3" s="31">
        <f>'balance sheet'!G38+'balance sheet'!G27</f>
        <v>1081.5999999999999</v>
      </c>
      <c r="D3" s="43">
        <f>C5</f>
        <v>1572.1999999999998</v>
      </c>
      <c r="E3" s="43">
        <f>D5</f>
        <v>1572.1999999999998</v>
      </c>
      <c r="F3" s="43">
        <f t="shared" ref="F3:H3" si="4">E5</f>
        <v>1572.1999999999998</v>
      </c>
      <c r="G3" s="43">
        <f t="shared" si="4"/>
        <v>1572.1999999999998</v>
      </c>
      <c r="H3" s="43">
        <f t="shared" si="4"/>
        <v>1572.1999999999998</v>
      </c>
    </row>
    <row r="4" spans="1:8" x14ac:dyDescent="0.25">
      <c r="A4" t="s">
        <v>170</v>
      </c>
      <c r="B4" s="6">
        <f>B5-B3</f>
        <v>731.3</v>
      </c>
      <c r="C4" s="6">
        <f t="shared" ref="C4" si="5">C5-C3</f>
        <v>490.59999999999991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8" x14ac:dyDescent="0.25">
      <c r="A5" s="30" t="s">
        <v>171</v>
      </c>
      <c r="B5" s="51">
        <f>'balance sheet'!G27+'balance sheet'!G38</f>
        <v>1081.5999999999999</v>
      </c>
      <c r="C5" s="51">
        <f>'balance sheet'!H27+'balance sheet'!H38</f>
        <v>1572.1999999999998</v>
      </c>
      <c r="D5" s="51">
        <f>'balance sheet'!I27+'balance sheet'!I38</f>
        <v>1572.1999999999998</v>
      </c>
      <c r="E5" s="45">
        <f>'balance sheet'!J27+'balance sheet'!J38</f>
        <v>1572.1999999999998</v>
      </c>
      <c r="F5" s="45">
        <f>'balance sheet'!K27+'balance sheet'!K38</f>
        <v>1572.1999999999998</v>
      </c>
      <c r="G5" s="45">
        <f>'balance sheet'!L27+'balance sheet'!L38</f>
        <v>1572.1999999999998</v>
      </c>
      <c r="H5" s="45">
        <f>'balance sheet'!M27+'balance sheet'!M38</f>
        <v>1572.1999999999998</v>
      </c>
    </row>
    <row r="6" spans="1:8" x14ac:dyDescent="0.25">
      <c r="A6" t="s">
        <v>172</v>
      </c>
      <c r="B6" s="55">
        <f>B7/B3</f>
        <v>8.9351984013702535E-2</v>
      </c>
      <c r="C6" s="55">
        <f>C7/C3</f>
        <v>3.8091715976331368E-2</v>
      </c>
      <c r="D6" s="55">
        <v>3.8091715976331368E-2</v>
      </c>
      <c r="E6" s="55">
        <v>3.8091715976331368E-2</v>
      </c>
      <c r="F6" s="55">
        <v>3.8091715976331368E-2</v>
      </c>
      <c r="G6" s="55">
        <v>3.8091715976331368E-2</v>
      </c>
      <c r="H6" s="55">
        <v>3.8091715976331368E-2</v>
      </c>
    </row>
    <row r="7" spans="1:8" x14ac:dyDescent="0.25">
      <c r="A7" t="s">
        <v>173</v>
      </c>
      <c r="B7">
        <v>31.3</v>
      </c>
      <c r="C7">
        <v>41.2</v>
      </c>
      <c r="D7" s="11">
        <f>D6*D3</f>
        <v>59.887795857988174</v>
      </c>
      <c r="E7" s="11">
        <f>E6*E3</f>
        <v>59.887795857988174</v>
      </c>
      <c r="F7" s="11">
        <f t="shared" ref="F7:H7" si="6">F6*F3</f>
        <v>59.887795857988174</v>
      </c>
      <c r="G7" s="11">
        <f t="shared" si="6"/>
        <v>59.887795857988174</v>
      </c>
      <c r="H7" s="11">
        <f t="shared" si="6"/>
        <v>59.887795857988174</v>
      </c>
    </row>
    <row r="9" spans="1:8" x14ac:dyDescent="0.25">
      <c r="A9" t="s">
        <v>174</v>
      </c>
      <c r="B9" s="31">
        <f>8.1+31.5+1+137.3</f>
        <v>177.9</v>
      </c>
      <c r="C9">
        <f>'debt schedule'!B11</f>
        <v>273</v>
      </c>
      <c r="D9">
        <f>C11</f>
        <v>249.3</v>
      </c>
      <c r="E9">
        <f>D11</f>
        <v>249.3</v>
      </c>
      <c r="F9">
        <f t="shared" ref="F9:H9" si="7">E11</f>
        <v>249.3</v>
      </c>
      <c r="G9">
        <f t="shared" si="7"/>
        <v>249.3</v>
      </c>
      <c r="H9">
        <f t="shared" si="7"/>
        <v>249.3</v>
      </c>
    </row>
    <row r="10" spans="1:8" x14ac:dyDescent="0.25">
      <c r="A10" t="s">
        <v>170</v>
      </c>
      <c r="B10">
        <f>B11-B9</f>
        <v>95.1</v>
      </c>
      <c r="C10">
        <f>C11-C9</f>
        <v>-23.699999999999989</v>
      </c>
      <c r="D10">
        <f>D11-D9</f>
        <v>0</v>
      </c>
      <c r="E10">
        <f>E11-E9</f>
        <v>0</v>
      </c>
      <c r="F10">
        <f t="shared" ref="F10:H10" si="8">F11-F9</f>
        <v>0</v>
      </c>
      <c r="G10">
        <f t="shared" si="8"/>
        <v>0</v>
      </c>
      <c r="H10">
        <f t="shared" si="8"/>
        <v>0</v>
      </c>
    </row>
    <row r="11" spans="1:8" x14ac:dyDescent="0.25">
      <c r="A11" s="30" t="s">
        <v>175</v>
      </c>
      <c r="B11" s="30">
        <f>'balance sheet'!G28+'balance sheet'!G29+'balance sheet'!G39+'balance sheet'!G40</f>
        <v>273</v>
      </c>
      <c r="C11" s="30">
        <f>'balance sheet'!H28+'balance sheet'!H29+'balance sheet'!H39+'balance sheet'!H40</f>
        <v>249.3</v>
      </c>
      <c r="D11" s="30">
        <f>'balance sheet'!I28+'balance sheet'!I29+'balance sheet'!I39+'balance sheet'!I40</f>
        <v>249.3</v>
      </c>
      <c r="E11" s="30">
        <f>'balance sheet'!J28+'balance sheet'!J29+'balance sheet'!J39+'balance sheet'!J40</f>
        <v>249.3</v>
      </c>
      <c r="F11" s="30">
        <f>'balance sheet'!K28+'balance sheet'!K29+'balance sheet'!K39+'balance sheet'!K40</f>
        <v>249.3</v>
      </c>
      <c r="G11" s="30">
        <f>'balance sheet'!L28+'balance sheet'!L29+'balance sheet'!L39+'balance sheet'!L40</f>
        <v>249.3</v>
      </c>
      <c r="H11" s="30">
        <f>'balance sheet'!M28+'balance sheet'!M29+'balance sheet'!M39+'balance sheet'!M40</f>
        <v>249.3</v>
      </c>
    </row>
    <row r="12" spans="1:8" x14ac:dyDescent="0.25">
      <c r="A12" t="s">
        <v>172</v>
      </c>
      <c r="B12" s="55">
        <f>B13/B9</f>
        <v>4.2720629567172569E-2</v>
      </c>
      <c r="C12" s="55">
        <f>C13/C9</f>
        <v>4.2490842490842493E-2</v>
      </c>
      <c r="D12" s="55">
        <v>4.2490842490842493E-2</v>
      </c>
      <c r="E12" s="55">
        <v>4.2490842490842493E-2</v>
      </c>
      <c r="F12" s="55">
        <v>4.2490842490842493E-2</v>
      </c>
      <c r="G12" s="55">
        <v>4.2490842490842493E-2</v>
      </c>
      <c r="H12" s="55">
        <v>4.2490842490842493E-2</v>
      </c>
    </row>
    <row r="13" spans="1:8" x14ac:dyDescent="0.25">
      <c r="A13" t="s">
        <v>176</v>
      </c>
      <c r="B13" s="31">
        <v>7.6</v>
      </c>
      <c r="C13" s="31">
        <v>11.6</v>
      </c>
      <c r="D13" s="37">
        <f>D9*D12</f>
        <v>10.592967032967033</v>
      </c>
      <c r="E13" s="37">
        <f>E9*E12</f>
        <v>10.592967032967033</v>
      </c>
      <c r="F13" s="37">
        <f t="shared" ref="F13:H13" si="9">F9*F12</f>
        <v>10.592967032967033</v>
      </c>
      <c r="G13" s="37">
        <f t="shared" si="9"/>
        <v>10.592967032967033</v>
      </c>
      <c r="H13" s="37">
        <f t="shared" si="9"/>
        <v>10.592967032967033</v>
      </c>
    </row>
  </sheetData>
  <mergeCells count="2">
    <mergeCell ref="B1:C1"/>
    <mergeCell ref="D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FCA6-F21F-41AC-8B27-3350E8A615E2}">
  <dimension ref="A1"/>
  <sheetViews>
    <sheetView workbookViewId="0">
      <selection activeCell="N30" sqref="N30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9A7B-3FC4-4BC4-BAB3-BD22406B3CBB}">
  <dimension ref="B2:K33"/>
  <sheetViews>
    <sheetView topLeftCell="A6" zoomScale="145" zoomScaleNormal="145" workbookViewId="0">
      <selection activeCell="D16" sqref="D16"/>
    </sheetView>
  </sheetViews>
  <sheetFormatPr defaultColWidth="8.7109375" defaultRowHeight="15" x14ac:dyDescent="0.25"/>
  <cols>
    <col min="2" max="2" width="53" bestFit="1" customWidth="1"/>
    <col min="3" max="3" width="9.140625" bestFit="1" customWidth="1"/>
    <col min="4" max="4" width="9.85546875" customWidth="1"/>
  </cols>
  <sheetData>
    <row r="2" spans="2:11" x14ac:dyDescent="0.25">
      <c r="B2" t="s">
        <v>1</v>
      </c>
      <c r="C2">
        <v>2025</v>
      </c>
      <c r="D2">
        <v>2024</v>
      </c>
    </row>
    <row r="3" spans="2:11" x14ac:dyDescent="0.25">
      <c r="B3" t="s">
        <v>11</v>
      </c>
      <c r="C3">
        <v>5058.6000000000004</v>
      </c>
      <c r="D3" s="7">
        <v>4476.5</v>
      </c>
      <c r="G3" s="1"/>
      <c r="K3" s="1"/>
    </row>
    <row r="4" spans="2:11" x14ac:dyDescent="0.25">
      <c r="B4" t="s">
        <v>12</v>
      </c>
      <c r="D4" s="1"/>
    </row>
    <row r="5" spans="2:11" x14ac:dyDescent="0.25">
      <c r="B5" t="s">
        <v>15</v>
      </c>
      <c r="C5" s="3">
        <v>-2272</v>
      </c>
      <c r="D5" s="3">
        <v>-2024.1</v>
      </c>
      <c r="F5" s="3"/>
      <c r="H5" s="1"/>
    </row>
    <row r="6" spans="2:11" x14ac:dyDescent="0.25">
      <c r="B6" t="s">
        <v>16</v>
      </c>
      <c r="C6" s="3">
        <v>-644.29999999999995</v>
      </c>
      <c r="D6" s="3">
        <v>-445.8</v>
      </c>
      <c r="F6" s="3"/>
      <c r="H6" s="1"/>
    </row>
    <row r="7" spans="2:11" x14ac:dyDescent="0.25">
      <c r="B7" t="s">
        <v>17</v>
      </c>
      <c r="C7" s="3">
        <v>-350.9</v>
      </c>
      <c r="D7" s="3">
        <v>-397.2</v>
      </c>
      <c r="F7" s="3"/>
      <c r="H7" s="1"/>
    </row>
    <row r="8" spans="2:11" x14ac:dyDescent="0.25">
      <c r="B8" t="s">
        <v>19</v>
      </c>
      <c r="C8" s="1">
        <v>-349.3</v>
      </c>
      <c r="D8" s="1">
        <v>-329.7</v>
      </c>
      <c r="F8" s="3"/>
      <c r="H8" s="1"/>
    </row>
    <row r="9" spans="2:11" x14ac:dyDescent="0.25">
      <c r="B9" t="s">
        <v>20</v>
      </c>
      <c r="C9">
        <v>-90</v>
      </c>
      <c r="D9" s="1">
        <v>-104.4</v>
      </c>
      <c r="F9" s="3"/>
    </row>
    <row r="10" spans="2:11" x14ac:dyDescent="0.25">
      <c r="B10" t="s">
        <v>21</v>
      </c>
      <c r="C10" s="1">
        <v>-122.6</v>
      </c>
      <c r="D10" s="1">
        <v>-102.1</v>
      </c>
      <c r="F10" s="3"/>
      <c r="G10" s="2"/>
      <c r="H10" s="2"/>
    </row>
    <row r="11" spans="2:11" x14ac:dyDescent="0.25">
      <c r="B11" t="s">
        <v>22</v>
      </c>
      <c r="C11" s="1">
        <v>-97.5</v>
      </c>
      <c r="D11" s="1">
        <v>-86.8</v>
      </c>
      <c r="F11" s="3"/>
      <c r="G11" s="1"/>
    </row>
    <row r="12" spans="2:11" x14ac:dyDescent="0.25">
      <c r="B12" s="1" t="s">
        <v>23</v>
      </c>
      <c r="C12" s="1">
        <v>-85.7</v>
      </c>
      <c r="D12" s="1">
        <v>-74.599999999999994</v>
      </c>
    </row>
    <row r="13" spans="2:11" x14ac:dyDescent="0.25">
      <c r="B13" s="1" t="s">
        <v>24</v>
      </c>
      <c r="C13">
        <v>-90.6</v>
      </c>
      <c r="D13" s="1">
        <v>-73.5</v>
      </c>
      <c r="G13" s="1"/>
    </row>
    <row r="14" spans="2:11" x14ac:dyDescent="0.25">
      <c r="B14" t="s">
        <v>25</v>
      </c>
      <c r="C14">
        <v>-70.400000000000006</v>
      </c>
      <c r="D14">
        <v>-12</v>
      </c>
    </row>
    <row r="15" spans="2:11" x14ac:dyDescent="0.25">
      <c r="B15" s="1" t="s">
        <v>26</v>
      </c>
      <c r="C15">
        <v>-36</v>
      </c>
      <c r="D15" s="1">
        <v>-34.5</v>
      </c>
      <c r="G15" s="1"/>
    </row>
    <row r="16" spans="2:11" x14ac:dyDescent="0.25">
      <c r="B16" t="s">
        <v>27</v>
      </c>
      <c r="C16">
        <v>-30.8</v>
      </c>
      <c r="D16">
        <v>-33.200000000000003</v>
      </c>
    </row>
    <row r="17" spans="2:8" x14ac:dyDescent="0.25">
      <c r="B17" s="1" t="s">
        <v>28</v>
      </c>
      <c r="C17">
        <v>-2.1</v>
      </c>
      <c r="D17" s="1" t="s">
        <v>14</v>
      </c>
      <c r="G17" s="1"/>
    </row>
    <row r="18" spans="2:8" x14ac:dyDescent="0.25">
      <c r="B18" t="s">
        <v>29</v>
      </c>
      <c r="C18">
        <v>25.9</v>
      </c>
      <c r="D18">
        <v>5.0999999999999996</v>
      </c>
    </row>
    <row r="19" spans="2:8" x14ac:dyDescent="0.25">
      <c r="B19" t="s">
        <v>30</v>
      </c>
      <c r="C19">
        <v>-69.7</v>
      </c>
      <c r="D19">
        <v>-72.400000000000006</v>
      </c>
      <c r="G19" s="1"/>
    </row>
    <row r="20" spans="2:8" x14ac:dyDescent="0.25">
      <c r="B20" t="s">
        <v>31</v>
      </c>
      <c r="C20" s="6">
        <f>SUM(C5:C19)</f>
        <v>-4286.0000000000009</v>
      </c>
      <c r="D20" s="6">
        <f>SUM(D5:D19)</f>
        <v>-3785.2</v>
      </c>
      <c r="G20" s="1"/>
    </row>
    <row r="21" spans="2:8" x14ac:dyDescent="0.25">
      <c r="G21" s="1"/>
    </row>
    <row r="22" spans="2:8" x14ac:dyDescent="0.25">
      <c r="B22" s="9" t="s">
        <v>62</v>
      </c>
      <c r="C22" s="10">
        <f>SUM(C3,C20)</f>
        <v>772.59999999999945</v>
      </c>
      <c r="D22" s="10">
        <f>SUM(D3,D20)</f>
        <v>691.30000000000018</v>
      </c>
    </row>
    <row r="23" spans="2:8" x14ac:dyDescent="0.25">
      <c r="B23" t="s">
        <v>18</v>
      </c>
      <c r="C23" s="1">
        <v>-399.6</v>
      </c>
      <c r="D23" s="1">
        <v>-368.4</v>
      </c>
      <c r="F23" s="3"/>
      <c r="G23" s="2"/>
      <c r="H23" s="2"/>
    </row>
    <row r="24" spans="2:8" x14ac:dyDescent="0.25">
      <c r="B24" s="25" t="s">
        <v>61</v>
      </c>
      <c r="C24" s="26">
        <f>SUM(C22:C23)</f>
        <v>372.99999999999943</v>
      </c>
      <c r="D24" s="26">
        <f>SUM(D22:D23)</f>
        <v>322.9000000000002</v>
      </c>
    </row>
    <row r="25" spans="2:8" x14ac:dyDescent="0.25">
      <c r="B25" s="1"/>
      <c r="D25" s="1"/>
      <c r="G25" s="1"/>
    </row>
    <row r="26" spans="2:8" x14ac:dyDescent="0.25">
      <c r="B26" t="s">
        <v>33</v>
      </c>
    </row>
    <row r="27" spans="2:8" x14ac:dyDescent="0.25">
      <c r="B27" s="1" t="s">
        <v>32</v>
      </c>
      <c r="C27" s="1">
        <v>20.399999999999999</v>
      </c>
      <c r="D27">
        <v>31.7</v>
      </c>
      <c r="G27" s="1"/>
    </row>
    <row r="28" spans="2:8" x14ac:dyDescent="0.25">
      <c r="B28" t="s">
        <v>34</v>
      </c>
      <c r="C28">
        <v>-52.8</v>
      </c>
      <c r="D28">
        <v>-38.9</v>
      </c>
    </row>
    <row r="29" spans="2:8" x14ac:dyDescent="0.25">
      <c r="B29" t="s">
        <v>35</v>
      </c>
      <c r="C29">
        <v>0.8</v>
      </c>
      <c r="D29">
        <v>1.8</v>
      </c>
    </row>
    <row r="31" spans="2:8" x14ac:dyDescent="0.25">
      <c r="B31" s="12" t="s">
        <v>63</v>
      </c>
      <c r="C31" s="13">
        <f>SUM(C24,C27:C29)</f>
        <v>341.39999999999941</v>
      </c>
      <c r="D31" s="13">
        <f>SUM(D24,D27:D29)</f>
        <v>317.50000000000023</v>
      </c>
    </row>
    <row r="32" spans="2:8" x14ac:dyDescent="0.25">
      <c r="B32" t="s">
        <v>36</v>
      </c>
      <c r="C32">
        <v>-69.5</v>
      </c>
      <c r="D32">
        <v>-61.8</v>
      </c>
    </row>
    <row r="33" spans="2:4" x14ac:dyDescent="0.25">
      <c r="B33" t="s">
        <v>37</v>
      </c>
      <c r="C33" s="11">
        <f>SUM(C31:C32)</f>
        <v>271.89999999999941</v>
      </c>
      <c r="D33" s="11">
        <f>SUM(D31:D32)</f>
        <v>255.70000000000022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457C-C517-4759-A344-296D24F49324}">
  <dimension ref="B2:F57"/>
  <sheetViews>
    <sheetView zoomScale="145" zoomScaleNormal="145" workbookViewId="0">
      <selection activeCell="C5" sqref="C5"/>
    </sheetView>
  </sheetViews>
  <sheetFormatPr defaultColWidth="8.7109375" defaultRowHeight="15" x14ac:dyDescent="0.25"/>
  <cols>
    <col min="2" max="2" width="46.7109375" customWidth="1"/>
    <col min="3" max="4" width="10" bestFit="1" customWidth="1"/>
  </cols>
  <sheetData>
    <row r="2" spans="2:6" x14ac:dyDescent="0.25">
      <c r="B2" t="s">
        <v>10</v>
      </c>
      <c r="C2">
        <v>2025</v>
      </c>
      <c r="D2">
        <v>2024</v>
      </c>
    </row>
    <row r="3" spans="2:6" x14ac:dyDescent="0.25">
      <c r="B3" t="s">
        <v>2</v>
      </c>
    </row>
    <row r="4" spans="2:6" x14ac:dyDescent="0.25">
      <c r="B4" t="s">
        <v>39</v>
      </c>
      <c r="C4" s="14">
        <v>868.4</v>
      </c>
      <c r="D4" s="14">
        <v>892.4</v>
      </c>
      <c r="E4" s="3"/>
      <c r="F4" s="3"/>
    </row>
    <row r="5" spans="2:6" x14ac:dyDescent="0.25">
      <c r="B5" t="s">
        <v>40</v>
      </c>
      <c r="C5" s="14">
        <v>774.3</v>
      </c>
      <c r="D5" s="14">
        <v>725.7</v>
      </c>
    </row>
    <row r="6" spans="2:6" x14ac:dyDescent="0.25">
      <c r="B6" t="s">
        <v>38</v>
      </c>
      <c r="C6" s="14">
        <v>90.8</v>
      </c>
      <c r="D6" s="14">
        <v>94</v>
      </c>
    </row>
    <row r="7" spans="2:6" x14ac:dyDescent="0.25">
      <c r="B7" t="s">
        <v>3</v>
      </c>
      <c r="C7" s="14">
        <v>151.30000000000001</v>
      </c>
      <c r="D7" s="14">
        <v>158</v>
      </c>
    </row>
    <row r="8" spans="2:6" x14ac:dyDescent="0.25">
      <c r="B8" t="s">
        <v>41</v>
      </c>
      <c r="C8" s="14"/>
      <c r="D8" s="14">
        <v>29</v>
      </c>
    </row>
    <row r="9" spans="2:6" x14ac:dyDescent="0.25">
      <c r="B9" s="12" t="s">
        <v>4</v>
      </c>
      <c r="C9" s="16">
        <f>SUM(C4:C7)</f>
        <v>1884.7999999999997</v>
      </c>
      <c r="D9" s="16">
        <f>SUM(D4:D8)</f>
        <v>1899.1</v>
      </c>
    </row>
    <row r="10" spans="2:6" x14ac:dyDescent="0.25">
      <c r="C10" s="1"/>
      <c r="D10" s="1"/>
      <c r="F10" s="4" t="s">
        <v>13</v>
      </c>
    </row>
    <row r="11" spans="2:6" x14ac:dyDescent="0.25">
      <c r="B11" t="s">
        <v>5</v>
      </c>
    </row>
    <row r="12" spans="2:6" x14ac:dyDescent="0.25">
      <c r="B12" t="s">
        <v>65</v>
      </c>
      <c r="C12" s="3">
        <v>14.3</v>
      </c>
      <c r="D12" s="3">
        <v>12.9</v>
      </c>
    </row>
    <row r="13" spans="2:6" x14ac:dyDescent="0.25">
      <c r="B13" t="s">
        <v>42</v>
      </c>
      <c r="C13" s="3">
        <v>27.6</v>
      </c>
      <c r="D13" s="3">
        <v>29.1</v>
      </c>
    </row>
    <row r="14" spans="2:6" x14ac:dyDescent="0.25">
      <c r="B14" t="s">
        <v>97</v>
      </c>
      <c r="C14" s="3">
        <v>268.89999999999998</v>
      </c>
      <c r="D14" s="3">
        <v>127.7</v>
      </c>
    </row>
    <row r="15" spans="2:6" x14ac:dyDescent="0.25">
      <c r="B15" t="s">
        <v>66</v>
      </c>
      <c r="C15" s="3">
        <v>2339.3000000000002</v>
      </c>
      <c r="D15" s="3">
        <v>2129.6</v>
      </c>
      <c r="F15" s="4" t="s">
        <v>13</v>
      </c>
    </row>
    <row r="16" spans="2:6" x14ac:dyDescent="0.25">
      <c r="B16" t="s">
        <v>67</v>
      </c>
      <c r="C16" s="1">
        <v>557.29999999999995</v>
      </c>
      <c r="D16" s="1">
        <v>557.79999999999995</v>
      </c>
    </row>
    <row r="17" spans="2:6" x14ac:dyDescent="0.25">
      <c r="B17" t="s">
        <v>43</v>
      </c>
      <c r="C17">
        <v>977.1</v>
      </c>
      <c r="D17">
        <v>955.5</v>
      </c>
    </row>
    <row r="18" spans="2:6" x14ac:dyDescent="0.25">
      <c r="B18" t="s">
        <v>68</v>
      </c>
      <c r="C18" s="3">
        <v>69.599999999999994</v>
      </c>
      <c r="D18" s="3">
        <v>69.2</v>
      </c>
    </row>
    <row r="19" spans="2:6" x14ac:dyDescent="0.25">
      <c r="B19" s="12" t="s">
        <v>44</v>
      </c>
      <c r="C19" s="16">
        <f>SUM(C12:C18)</f>
        <v>4254.1000000000013</v>
      </c>
      <c r="D19" s="16">
        <f>SUM(D12:D18)</f>
        <v>3881.7999999999993</v>
      </c>
    </row>
    <row r="20" spans="2:6" x14ac:dyDescent="0.25">
      <c r="B20" s="8"/>
      <c r="C20" s="15"/>
      <c r="D20" s="15"/>
    </row>
    <row r="21" spans="2:6" x14ac:dyDescent="0.25">
      <c r="B21" s="8" t="s">
        <v>6</v>
      </c>
      <c r="C21" s="15">
        <f>SUM(C19,C9)</f>
        <v>6138.9000000000015</v>
      </c>
      <c r="D21" s="15">
        <f>SUM(D19,D9)</f>
        <v>5780.9</v>
      </c>
    </row>
    <row r="22" spans="2:6" x14ac:dyDescent="0.25">
      <c r="B22" s="8"/>
      <c r="C22" s="15"/>
      <c r="D22" s="15"/>
    </row>
    <row r="23" spans="2:6" x14ac:dyDescent="0.25">
      <c r="B23" s="8"/>
      <c r="C23" s="15"/>
      <c r="D23" s="15"/>
    </row>
    <row r="24" spans="2:6" x14ac:dyDescent="0.25">
      <c r="B24" t="s">
        <v>45</v>
      </c>
      <c r="C24" s="3"/>
      <c r="D24" s="3"/>
    </row>
    <row r="25" spans="2:6" x14ac:dyDescent="0.25">
      <c r="B25" t="s">
        <v>46</v>
      </c>
      <c r="C25" s="3">
        <v>387.4</v>
      </c>
      <c r="D25" s="3">
        <v>590.5</v>
      </c>
      <c r="F25" s="4" t="s">
        <v>13</v>
      </c>
    </row>
    <row r="26" spans="2:6" x14ac:dyDescent="0.25">
      <c r="B26" t="s">
        <v>69</v>
      </c>
      <c r="C26" s="4">
        <v>5.3</v>
      </c>
      <c r="D26" s="1">
        <v>4.7</v>
      </c>
    </row>
    <row r="27" spans="2:6" x14ac:dyDescent="0.25">
      <c r="B27" t="s">
        <v>70</v>
      </c>
      <c r="C27">
        <v>60.1</v>
      </c>
      <c r="D27">
        <v>66.099999999999994</v>
      </c>
    </row>
    <row r="28" spans="2:6" x14ac:dyDescent="0.25">
      <c r="B28" t="s">
        <v>71</v>
      </c>
      <c r="C28" s="3">
        <v>954.2</v>
      </c>
      <c r="D28" s="3">
        <v>1001.1</v>
      </c>
    </row>
    <row r="29" spans="2:6" x14ac:dyDescent="0.25">
      <c r="B29" t="s">
        <v>72</v>
      </c>
      <c r="C29" s="3">
        <v>0.7</v>
      </c>
      <c r="D29" s="3">
        <v>1.1000000000000001</v>
      </c>
    </row>
    <row r="30" spans="2:6" x14ac:dyDescent="0.25">
      <c r="B30" t="s">
        <v>73</v>
      </c>
      <c r="C30" s="3">
        <v>19.399999999999999</v>
      </c>
      <c r="D30" s="3">
        <v>19.399999999999999</v>
      </c>
      <c r="F30" s="4" t="s">
        <v>9</v>
      </c>
    </row>
    <row r="31" spans="2:6" x14ac:dyDescent="0.25">
      <c r="B31" t="s">
        <v>74</v>
      </c>
      <c r="C31" s="3">
        <v>50</v>
      </c>
      <c r="D31" s="3">
        <v>45</v>
      </c>
      <c r="F31" s="3"/>
    </row>
    <row r="32" spans="2:6" x14ac:dyDescent="0.25">
      <c r="B32" t="s">
        <v>75</v>
      </c>
      <c r="C32">
        <v>60</v>
      </c>
      <c r="D32">
        <v>72.8</v>
      </c>
      <c r="F32" s="3"/>
    </row>
    <row r="33" spans="2:6" x14ac:dyDescent="0.25">
      <c r="B33" s="12" t="s">
        <v>7</v>
      </c>
      <c r="C33" s="17">
        <f>SUM(C25:C32)</f>
        <v>1537.1000000000001</v>
      </c>
      <c r="D33" s="17">
        <f>SUM(D25:D32)</f>
        <v>1800.7</v>
      </c>
      <c r="F33" s="4" t="s">
        <v>13</v>
      </c>
    </row>
    <row r="34" spans="2:6" x14ac:dyDescent="0.25">
      <c r="B34" s="8"/>
      <c r="C34" s="18"/>
      <c r="D34" s="18"/>
      <c r="F34" s="4"/>
    </row>
    <row r="35" spans="2:6" x14ac:dyDescent="0.25">
      <c r="B35" s="5" t="s">
        <v>47</v>
      </c>
      <c r="C35" s="3"/>
      <c r="D35" s="3"/>
    </row>
    <row r="36" spans="2:6" x14ac:dyDescent="0.25">
      <c r="B36" t="s">
        <v>90</v>
      </c>
      <c r="C36" s="14">
        <v>1184.8</v>
      </c>
      <c r="D36" s="14">
        <v>491.1</v>
      </c>
    </row>
    <row r="37" spans="2:6" x14ac:dyDescent="0.25">
      <c r="B37" t="s">
        <v>86</v>
      </c>
      <c r="C37" s="14">
        <v>21</v>
      </c>
      <c r="D37" s="14">
        <v>24.3</v>
      </c>
    </row>
    <row r="38" spans="2:6" x14ac:dyDescent="0.25">
      <c r="B38" t="s">
        <v>87</v>
      </c>
      <c r="C38" s="14">
        <v>162.9</v>
      </c>
      <c r="D38" s="14">
        <v>177.9</v>
      </c>
    </row>
    <row r="39" spans="2:6" x14ac:dyDescent="0.25">
      <c r="B39" t="s">
        <v>88</v>
      </c>
      <c r="C39" s="14">
        <v>2.8</v>
      </c>
      <c r="D39" s="14">
        <v>3.7</v>
      </c>
    </row>
    <row r="40" spans="2:6" x14ac:dyDescent="0.25">
      <c r="B40" t="s">
        <v>76</v>
      </c>
      <c r="C40" s="19">
        <v>18.5</v>
      </c>
      <c r="D40" s="19">
        <v>17.100000000000001</v>
      </c>
    </row>
    <row r="41" spans="2:6" x14ac:dyDescent="0.25">
      <c r="B41" t="s">
        <v>77</v>
      </c>
      <c r="C41" s="19">
        <v>45.6</v>
      </c>
      <c r="D41" s="19">
        <v>58.1</v>
      </c>
    </row>
    <row r="42" spans="2:6" x14ac:dyDescent="0.25">
      <c r="B42" t="s">
        <v>89</v>
      </c>
      <c r="C42" s="19">
        <v>19.399999999999999</v>
      </c>
      <c r="D42" s="19">
        <v>19.399999999999999</v>
      </c>
    </row>
    <row r="43" spans="2:6" x14ac:dyDescent="0.25">
      <c r="B43" t="s">
        <v>78</v>
      </c>
      <c r="C43" s="19">
        <v>166.1</v>
      </c>
      <c r="D43" s="19">
        <v>163</v>
      </c>
    </row>
    <row r="44" spans="2:6" x14ac:dyDescent="0.25">
      <c r="B44" s="12" t="s">
        <v>8</v>
      </c>
      <c r="C44" s="20">
        <f>SUM(C36:C43)</f>
        <v>1621.1</v>
      </c>
      <c r="D44" s="20">
        <f>SUM(D36:D43)</f>
        <v>954.6</v>
      </c>
    </row>
    <row r="46" spans="2:6" x14ac:dyDescent="0.25">
      <c r="B46" s="12" t="s">
        <v>48</v>
      </c>
      <c r="C46" s="17">
        <f>SUM(C44,C33)</f>
        <v>3158.2</v>
      </c>
      <c r="D46" s="17">
        <f>SUM(D44,D33)</f>
        <v>2755.3</v>
      </c>
    </row>
    <row r="48" spans="2:6" x14ac:dyDescent="0.25">
      <c r="B48" t="s">
        <v>79</v>
      </c>
      <c r="C48">
        <v>694.4</v>
      </c>
      <c r="D48">
        <v>694.4</v>
      </c>
    </row>
    <row r="49" spans="2:4" x14ac:dyDescent="0.25">
      <c r="B49" t="s">
        <v>80</v>
      </c>
      <c r="C49">
        <v>-0.8</v>
      </c>
      <c r="D49">
        <v>-1.6</v>
      </c>
    </row>
    <row r="50" spans="2:4" x14ac:dyDescent="0.25">
      <c r="B50" t="s">
        <v>81</v>
      </c>
      <c r="C50">
        <v>19.399999999999999</v>
      </c>
      <c r="D50">
        <v>103.2</v>
      </c>
    </row>
    <row r="51" spans="2:4" x14ac:dyDescent="0.25">
      <c r="B51" t="s">
        <v>82</v>
      </c>
      <c r="C51">
        <v>-179.6</v>
      </c>
      <c r="D51">
        <v>-206.7</v>
      </c>
    </row>
    <row r="52" spans="2:4" x14ac:dyDescent="0.25">
      <c r="B52" t="s">
        <v>83</v>
      </c>
      <c r="C52" s="7">
        <v>2062.1</v>
      </c>
      <c r="D52" s="7">
        <v>2009.7</v>
      </c>
    </row>
    <row r="53" spans="2:4" x14ac:dyDescent="0.25">
      <c r="B53" t="s">
        <v>49</v>
      </c>
    </row>
    <row r="54" spans="2:4" x14ac:dyDescent="0.25">
      <c r="B54" t="s">
        <v>84</v>
      </c>
      <c r="C54">
        <v>385.2</v>
      </c>
      <c r="D54">
        <v>426.6</v>
      </c>
    </row>
    <row r="55" spans="2:4" x14ac:dyDescent="0.25">
      <c r="B55" s="12" t="s">
        <v>50</v>
      </c>
      <c r="C55" s="12">
        <f>SUM(C48:C54)</f>
        <v>2980.7</v>
      </c>
      <c r="D55" s="12">
        <f>SUM(D48:D54)</f>
        <v>3025.6</v>
      </c>
    </row>
    <row r="57" spans="2:4" x14ac:dyDescent="0.25">
      <c r="B57" s="12" t="s">
        <v>51</v>
      </c>
      <c r="C57" s="17">
        <f>SUM(C55,C46)</f>
        <v>6138.9</v>
      </c>
      <c r="D57" s="17">
        <f>SUM(D55,D46)</f>
        <v>5780.9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E4196F-368A-4A41-B83E-1460D3614F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Unlevered cash flow</vt:lpstr>
      <vt:lpstr>WACC</vt:lpstr>
      <vt:lpstr>COMPARABLE COMPANIES</vt:lpstr>
      <vt:lpstr>beta calculation</vt:lpstr>
      <vt:lpstr>Profit &amp; loss</vt:lpstr>
      <vt:lpstr>cash Flow</vt:lpstr>
      <vt:lpstr>balance sheet</vt:lpstr>
      <vt:lpstr>Fixed assets schedule</vt:lpstr>
      <vt:lpstr>retained earnings schedule</vt:lpstr>
      <vt:lpstr>non-controlling interests </vt:lpstr>
      <vt:lpstr>debt schedule</vt:lpstr>
      <vt:lpstr>data source---&gt;</vt:lpstr>
      <vt:lpstr>Income Statement - Data</vt:lpstr>
      <vt:lpstr>Balance Sheet -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Chengjing Yu</cp:lastModifiedBy>
  <cp:lastPrinted>2026-09-11T06:44:54Z</cp:lastPrinted>
  <dcterms:created xsi:type="dcterms:W3CDTF">2022-01-10T18:21:57Z</dcterms:created>
  <dcterms:modified xsi:type="dcterms:W3CDTF">2026-10-11T11:35:30Z</dcterms:modified>
</cp:coreProperties>
</file>
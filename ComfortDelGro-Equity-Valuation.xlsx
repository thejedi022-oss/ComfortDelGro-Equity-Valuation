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Jing\Downloads\"/>
    </mc:Choice>
  </mc:AlternateContent>
  <xr:revisionPtr revIDLastSave="0" documentId="8_{454B13A3-B81C-43D0-AC61-F09A30D6C3CD}" xr6:coauthVersionLast="47" xr6:coauthVersionMax="47" xr10:uidLastSave="{00000000-0000-0000-0000-000000000000}"/>
  <bookViews>
    <workbookView xWindow="-120" yWindow="-120" windowWidth="29040" windowHeight="15720" firstSheet="1" activeTab="7" xr2:uid="{D93AAA56-1308-4026-9D8F-E913B55E5CC3}"/>
  </bookViews>
  <sheets>
    <sheet name="Unlevered cash flow" sheetId="14" r:id="rId1"/>
    <sheet name="WACC" sheetId="15" r:id="rId2"/>
    <sheet name="COMPARABLE COMPANIES" sheetId="16" r:id="rId3"/>
    <sheet name="Profit &amp; loss" sheetId="7" r:id="rId4"/>
    <sheet name="cash Flow" sheetId="8" r:id="rId5"/>
    <sheet name="balance sheet" sheetId="6" r:id="rId6"/>
    <sheet name="Fixed assets schedule" sheetId="9" r:id="rId7"/>
    <sheet name="retained earnings schedule" sheetId="10" r:id="rId8"/>
    <sheet name="non-controlling interests " sheetId="11" r:id="rId9"/>
    <sheet name="debt schedule" sheetId="12" r:id="rId10"/>
    <sheet name="data source---&gt;" sheetId="13" r:id="rId11"/>
    <sheet name="Income Statement - Data" sheetId="2" r:id="rId12"/>
    <sheet name="Balance Sheet - Data" sheetId="3" r:id="rId13"/>
  </sheets>
  <externalReferences>
    <externalReference r:id="rId1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9" i="14" l="1"/>
  <c r="B83" i="14"/>
  <c r="B84" i="14" s="1"/>
  <c r="B80" i="14"/>
  <c r="B81" i="14"/>
  <c r="D79" i="14"/>
  <c r="G65" i="14"/>
  <c r="G64" i="14"/>
  <c r="G66" i="14" s="1"/>
  <c r="C69" i="14" s="1"/>
  <c r="C65" i="14"/>
  <c r="C64" i="14"/>
  <c r="C63" i="14"/>
  <c r="C55" i="14" l="1"/>
  <c r="F4" i="16"/>
  <c r="F13" i="16"/>
  <c r="B3" i="16"/>
  <c r="F8" i="16"/>
  <c r="F12" i="16"/>
  <c r="F7" i="16"/>
  <c r="F3" i="16"/>
  <c r="B2" i="16" s="1"/>
  <c r="B4" i="16" l="1"/>
  <c r="B6" i="16"/>
  <c r="B5" i="16"/>
  <c r="D36" i="14"/>
  <c r="C36" i="14"/>
  <c r="D35" i="14"/>
  <c r="C35" i="14"/>
  <c r="D5" i="15"/>
  <c r="D13" i="15"/>
  <c r="D12" i="15"/>
  <c r="D14" i="15" s="1"/>
  <c r="H8" i="15"/>
  <c r="D6" i="15"/>
  <c r="D7" i="15"/>
  <c r="D17" i="15" l="1"/>
  <c r="D16" i="15"/>
  <c r="D18" i="15" s="1"/>
  <c r="E43" i="14"/>
  <c r="F43" i="14" s="1"/>
  <c r="F42" i="14" s="1"/>
  <c r="D42" i="14"/>
  <c r="C42" i="14"/>
  <c r="D32" i="14"/>
  <c r="D29" i="14"/>
  <c r="C29" i="14"/>
  <c r="D27" i="14"/>
  <c r="D31" i="14" s="1"/>
  <c r="E27" i="14"/>
  <c r="E31" i="14" s="1"/>
  <c r="F27" i="14"/>
  <c r="F31" i="14" s="1"/>
  <c r="C27" i="14"/>
  <c r="C34" i="7"/>
  <c r="D9" i="14"/>
  <c r="D12" i="7"/>
  <c r="E26" i="14"/>
  <c r="F26" i="14"/>
  <c r="C54" i="14" s="1"/>
  <c r="C57" i="14" s="1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D11" i="14"/>
  <c r="C11" i="14"/>
  <c r="C9" i="14"/>
  <c r="E8" i="14"/>
  <c r="F8" i="14" s="1"/>
  <c r="D7" i="14"/>
  <c r="C7" i="14"/>
  <c r="B1" i="14"/>
  <c r="E55" i="8"/>
  <c r="J33" i="6"/>
  <c r="I33" i="6"/>
  <c r="I18" i="6"/>
  <c r="J42" i="6"/>
  <c r="I42" i="6"/>
  <c r="F53" i="8"/>
  <c r="E53" i="8"/>
  <c r="B12" i="12"/>
  <c r="H39" i="6"/>
  <c r="H40" i="6"/>
  <c r="D56" i="8"/>
  <c r="D43" i="8"/>
  <c r="C43" i="8"/>
  <c r="C56" i="8"/>
  <c r="D54" i="8"/>
  <c r="C54" i="8"/>
  <c r="I38" i="6"/>
  <c r="B6" i="12"/>
  <c r="B9" i="12"/>
  <c r="B3" i="12"/>
  <c r="C2" i="12"/>
  <c r="D2" i="12" s="1"/>
  <c r="E2" i="12" s="1"/>
  <c r="D3" i="11"/>
  <c r="C4" i="11"/>
  <c r="C9" i="11"/>
  <c r="B4" i="11"/>
  <c r="B9" i="11" s="1"/>
  <c r="C2" i="11"/>
  <c r="D2" i="11" s="1"/>
  <c r="E2" i="11" s="1"/>
  <c r="C2" i="10"/>
  <c r="D2" i="10" s="1"/>
  <c r="E2" i="10" s="1"/>
  <c r="D14" i="9"/>
  <c r="E14" i="9"/>
  <c r="F14" i="9"/>
  <c r="C14" i="9"/>
  <c r="D12" i="9"/>
  <c r="C12" i="9"/>
  <c r="C13" i="9" s="1"/>
  <c r="C9" i="9"/>
  <c r="D2" i="9"/>
  <c r="E2" i="9" s="1"/>
  <c r="F2" i="9" s="1"/>
  <c r="I55" i="14" l="1"/>
  <c r="C56" i="14"/>
  <c r="C58" i="14" s="1"/>
  <c r="C34" i="14"/>
  <c r="E28" i="14"/>
  <c r="E30" i="14" s="1"/>
  <c r="E42" i="14"/>
  <c r="F28" i="14"/>
  <c r="F30" i="14" s="1"/>
  <c r="D26" i="14"/>
  <c r="D28" i="14" s="1"/>
  <c r="D30" i="14" s="1"/>
  <c r="C26" i="14"/>
  <c r="C28" i="14" s="1"/>
  <c r="C30" i="14" s="1"/>
  <c r="D13" i="9"/>
  <c r="G8" i="14"/>
  <c r="F7" i="14"/>
  <c r="E7" i="14"/>
  <c r="D27" i="8"/>
  <c r="C27" i="8"/>
  <c r="B21" i="8"/>
  <c r="B20" i="8"/>
  <c r="B19" i="8"/>
  <c r="B18" i="8"/>
  <c r="B17" i="8"/>
  <c r="E5" i="8"/>
  <c r="F5" i="8"/>
  <c r="B105" i="7"/>
  <c r="D3" i="8"/>
  <c r="E3" i="8" s="1"/>
  <c r="F3" i="8" s="1"/>
  <c r="H8" i="14" l="1"/>
  <c r="G7" i="14"/>
  <c r="J38" i="6"/>
  <c r="H38" i="6"/>
  <c r="C92" i="7"/>
  <c r="D101" i="7"/>
  <c r="E101" i="7"/>
  <c r="E38" i="7" s="1"/>
  <c r="F101" i="7"/>
  <c r="F38" i="7" s="1"/>
  <c r="C101" i="7"/>
  <c r="F104" i="7"/>
  <c r="E104" i="7"/>
  <c r="F102" i="7"/>
  <c r="E103" i="7"/>
  <c r="E102" i="7" s="1"/>
  <c r="F103" i="7"/>
  <c r="D103" i="7"/>
  <c r="D102" i="7"/>
  <c r="D104" i="7"/>
  <c r="C103" i="7"/>
  <c r="C104" i="7"/>
  <c r="C102" i="7"/>
  <c r="B100" i="7"/>
  <c r="D96" i="7"/>
  <c r="E96" i="7"/>
  <c r="C96" i="7"/>
  <c r="D99" i="7"/>
  <c r="D97" i="7"/>
  <c r="E98" i="7"/>
  <c r="F99" i="7" s="1"/>
  <c r="F98" i="7"/>
  <c r="F96" i="7" s="1"/>
  <c r="D98" i="7"/>
  <c r="C98" i="7"/>
  <c r="C97" i="7"/>
  <c r="C99" i="7"/>
  <c r="B95" i="7"/>
  <c r="E93" i="7"/>
  <c r="E94" i="7" s="1"/>
  <c r="F93" i="7"/>
  <c r="F94" i="7" s="1"/>
  <c r="D93" i="7"/>
  <c r="D91" i="7" s="1"/>
  <c r="D92" i="7"/>
  <c r="D94" i="7"/>
  <c r="C93" i="7"/>
  <c r="C94" i="7"/>
  <c r="B90" i="7"/>
  <c r="E91" i="7"/>
  <c r="E36" i="7" s="1"/>
  <c r="F91" i="7"/>
  <c r="F36" i="7" s="1"/>
  <c r="C91" i="7"/>
  <c r="C86" i="7"/>
  <c r="J4" i="6"/>
  <c r="I4" i="6"/>
  <c r="B85" i="7"/>
  <c r="D21" i="7"/>
  <c r="D22" i="7"/>
  <c r="D73" i="7"/>
  <c r="B80" i="7"/>
  <c r="B75" i="7"/>
  <c r="B70" i="7"/>
  <c r="B65" i="7"/>
  <c r="B60" i="7"/>
  <c r="B55" i="7"/>
  <c r="B50" i="7"/>
  <c r="F48" i="7"/>
  <c r="F47" i="7" s="1"/>
  <c r="C26" i="7"/>
  <c r="D31" i="2"/>
  <c r="C31" i="2"/>
  <c r="G16" i="6"/>
  <c r="D44" i="7"/>
  <c r="E11" i="7"/>
  <c r="F11" i="7" s="1"/>
  <c r="G38" i="6"/>
  <c r="G39" i="6"/>
  <c r="G40" i="6"/>
  <c r="G41" i="6"/>
  <c r="G42" i="6"/>
  <c r="G43" i="6"/>
  <c r="G44" i="6"/>
  <c r="G45" i="6"/>
  <c r="H41" i="6"/>
  <c r="H42" i="6"/>
  <c r="H43" i="6"/>
  <c r="H44" i="6"/>
  <c r="H45" i="6"/>
  <c r="H28" i="6"/>
  <c r="H29" i="6"/>
  <c r="H30" i="6"/>
  <c r="H31" i="6"/>
  <c r="H32" i="6"/>
  <c r="H33" i="6"/>
  <c r="H34" i="6"/>
  <c r="G28" i="6"/>
  <c r="G29" i="6"/>
  <c r="G30" i="6"/>
  <c r="G31" i="6"/>
  <c r="G32" i="6"/>
  <c r="G33" i="6"/>
  <c r="G34" i="6"/>
  <c r="H27" i="6"/>
  <c r="C5" i="12" s="1"/>
  <c r="G27" i="6"/>
  <c r="B5" i="12" s="1"/>
  <c r="B4" i="12" s="1"/>
  <c r="H20" i="6"/>
  <c r="G20" i="6"/>
  <c r="H14" i="6"/>
  <c r="H15" i="6"/>
  <c r="H16" i="6"/>
  <c r="H17" i="6"/>
  <c r="D4" i="9" s="1"/>
  <c r="H18" i="6"/>
  <c r="H19" i="6"/>
  <c r="G15" i="6"/>
  <c r="G17" i="6"/>
  <c r="C4" i="9" s="1"/>
  <c r="C6" i="9" s="1"/>
  <c r="D3" i="9" s="1"/>
  <c r="G18" i="6"/>
  <c r="G19" i="6"/>
  <c r="G14" i="6"/>
  <c r="H6" i="6"/>
  <c r="H7" i="6"/>
  <c r="H8" i="6"/>
  <c r="H9" i="6"/>
  <c r="H10" i="6"/>
  <c r="G7" i="6"/>
  <c r="G8" i="6"/>
  <c r="G9" i="6"/>
  <c r="G10" i="6"/>
  <c r="G6" i="6"/>
  <c r="D19" i="3"/>
  <c r="C19" i="3"/>
  <c r="C57" i="3"/>
  <c r="D40" i="7"/>
  <c r="C40" i="7"/>
  <c r="D38" i="7"/>
  <c r="C38" i="7"/>
  <c r="C37" i="7"/>
  <c r="D37" i="7"/>
  <c r="D36" i="7"/>
  <c r="C36" i="7"/>
  <c r="C32" i="7"/>
  <c r="C88" i="7" s="1"/>
  <c r="D32" i="7"/>
  <c r="D20" i="2"/>
  <c r="D22" i="2" s="1"/>
  <c r="D14" i="7"/>
  <c r="D15" i="7"/>
  <c r="D16" i="7"/>
  <c r="D17" i="7"/>
  <c r="D68" i="7" s="1"/>
  <c r="D18" i="7"/>
  <c r="D72" i="7" s="1"/>
  <c r="D19" i="7"/>
  <c r="E78" i="7" s="1"/>
  <c r="D20" i="7"/>
  <c r="D23" i="7"/>
  <c r="D24" i="7"/>
  <c r="D25" i="7"/>
  <c r="D26" i="7"/>
  <c r="D27" i="7"/>
  <c r="D28" i="7"/>
  <c r="C14" i="7"/>
  <c r="C15" i="7"/>
  <c r="C16" i="7"/>
  <c r="C62" i="7" s="1"/>
  <c r="C17" i="7"/>
  <c r="C68" i="7" s="1"/>
  <c r="C18" i="7"/>
  <c r="C72" i="7" s="1"/>
  <c r="C19" i="7"/>
  <c r="C78" i="7" s="1"/>
  <c r="C20" i="7"/>
  <c r="C21" i="7"/>
  <c r="C22" i="7"/>
  <c r="C23" i="7"/>
  <c r="C24" i="7"/>
  <c r="C25" i="7"/>
  <c r="C27" i="7"/>
  <c r="C28" i="7"/>
  <c r="D48" i="7"/>
  <c r="C12" i="7"/>
  <c r="C54" i="7" s="1"/>
  <c r="D57" i="3"/>
  <c r="D55" i="3"/>
  <c r="C55" i="3"/>
  <c r="D46" i="3"/>
  <c r="C46" i="3"/>
  <c r="D44" i="3"/>
  <c r="C44" i="3"/>
  <c r="D33" i="3"/>
  <c r="C33" i="3"/>
  <c r="D9" i="3"/>
  <c r="D21" i="3" s="1"/>
  <c r="C20" i="2"/>
  <c r="C22" i="2" s="1"/>
  <c r="C9" i="3"/>
  <c r="E97" i="7" l="1"/>
  <c r="F97" i="7"/>
  <c r="E99" i="7"/>
  <c r="I8" i="14"/>
  <c r="I7" i="14" s="1"/>
  <c r="H7" i="14"/>
  <c r="B11" i="12"/>
  <c r="H46" i="6"/>
  <c r="D3" i="12"/>
  <c r="D7" i="12" s="1"/>
  <c r="D9" i="9"/>
  <c r="D6" i="9"/>
  <c r="E3" i="9" s="1"/>
  <c r="E5" i="9" s="1"/>
  <c r="C11" i="12"/>
  <c r="G46" i="6"/>
  <c r="C3" i="12"/>
  <c r="C6" i="12" s="1"/>
  <c r="E92" i="7"/>
  <c r="F92" i="7"/>
  <c r="F73" i="7"/>
  <c r="C84" i="7"/>
  <c r="D74" i="7"/>
  <c r="D71" i="7" s="1"/>
  <c r="F49" i="7"/>
  <c r="F46" i="7" s="1"/>
  <c r="D52" i="7"/>
  <c r="C74" i="7"/>
  <c r="C71" i="7" s="1"/>
  <c r="C73" i="7"/>
  <c r="C58" i="7"/>
  <c r="D62" i="7"/>
  <c r="C52" i="7"/>
  <c r="D59" i="7"/>
  <c r="C53" i="7"/>
  <c r="C51" i="7" s="1"/>
  <c r="E53" i="7"/>
  <c r="E14" i="7" s="1"/>
  <c r="D58" i="7"/>
  <c r="D88" i="7"/>
  <c r="D64" i="7"/>
  <c r="F58" i="7"/>
  <c r="F59" i="7" s="1"/>
  <c r="F56" i="7" s="1"/>
  <c r="D54" i="7"/>
  <c r="D51" i="7" s="1"/>
  <c r="D57" i="7"/>
  <c r="C89" i="7"/>
  <c r="C64" i="7"/>
  <c r="F68" i="7"/>
  <c r="F69" i="7" s="1"/>
  <c r="F66" i="7" s="1"/>
  <c r="C83" i="7"/>
  <c r="C63" i="7"/>
  <c r="C61" i="7" s="1"/>
  <c r="E68" i="7"/>
  <c r="E52" i="7"/>
  <c r="F14" i="7"/>
  <c r="F52" i="7"/>
  <c r="E54" i="7"/>
  <c r="E51" i="7" s="1"/>
  <c r="E77" i="7"/>
  <c r="F19" i="7"/>
  <c r="E19" i="7"/>
  <c r="E79" i="7"/>
  <c r="E76" i="7" s="1"/>
  <c r="C67" i="7"/>
  <c r="C77" i="7"/>
  <c r="E58" i="7"/>
  <c r="E73" i="7"/>
  <c r="E32" i="7"/>
  <c r="D47" i="7"/>
  <c r="C57" i="7"/>
  <c r="D67" i="7"/>
  <c r="D77" i="7"/>
  <c r="D63" i="7"/>
  <c r="D78" i="7"/>
  <c r="F57" i="7"/>
  <c r="D31" i="7"/>
  <c r="E17" i="7"/>
  <c r="F17" i="7"/>
  <c r="D49" i="7"/>
  <c r="D46" i="7" s="1"/>
  <c r="D69" i="7"/>
  <c r="D66" i="7" s="1"/>
  <c r="D79" i="7"/>
  <c r="F63" i="7"/>
  <c r="F78" i="7"/>
  <c r="C59" i="7"/>
  <c r="C56" i="7" s="1"/>
  <c r="C69" i="7"/>
  <c r="C66" i="7" s="1"/>
  <c r="C79" i="7"/>
  <c r="C76" i="7" s="1"/>
  <c r="E63" i="7"/>
  <c r="D87" i="7"/>
  <c r="E48" i="7"/>
  <c r="D53" i="7"/>
  <c r="D89" i="7"/>
  <c r="F53" i="7"/>
  <c r="F54" i="7" s="1"/>
  <c r="F51" i="7" s="1"/>
  <c r="C87" i="7"/>
  <c r="C82" i="7"/>
  <c r="D83" i="7"/>
  <c r="D82" i="7"/>
  <c r="F83" i="7"/>
  <c r="D84" i="7"/>
  <c r="D81" i="7" s="1"/>
  <c r="E83" i="7"/>
  <c r="C31" i="7"/>
  <c r="C29" i="7"/>
  <c r="D33" i="2"/>
  <c r="D24" i="2"/>
  <c r="C33" i="2"/>
  <c r="C24" i="2"/>
  <c r="F44" i="7"/>
  <c r="E44" i="7"/>
  <c r="G48" i="6"/>
  <c r="G21" i="6"/>
  <c r="H35" i="6"/>
  <c r="H48" i="6" s="1"/>
  <c r="H11" i="6"/>
  <c r="H21" i="6"/>
  <c r="H23" i="6" s="1"/>
  <c r="G11" i="6"/>
  <c r="G35" i="6"/>
  <c r="G53" i="6"/>
  <c r="H52" i="6"/>
  <c r="G52" i="6"/>
  <c r="H51" i="6"/>
  <c r="G51" i="6"/>
  <c r="H56" i="6"/>
  <c r="H50" i="6"/>
  <c r="H53" i="6"/>
  <c r="G56" i="6"/>
  <c r="G50" i="6"/>
  <c r="H55" i="6"/>
  <c r="G55" i="6"/>
  <c r="H54" i="6"/>
  <c r="G54" i="6"/>
  <c r="C21" i="3"/>
  <c r="D29" i="7"/>
  <c r="D86" i="7" l="1"/>
  <c r="D56" i="7"/>
  <c r="D9" i="12"/>
  <c r="D13" i="12" s="1"/>
  <c r="E37" i="7"/>
  <c r="C4" i="12"/>
  <c r="C9" i="12"/>
  <c r="C12" i="12" s="1"/>
  <c r="B10" i="12"/>
  <c r="D76" i="7"/>
  <c r="D61" i="7"/>
  <c r="C81" i="7"/>
  <c r="F67" i="7"/>
  <c r="E69" i="7"/>
  <c r="E66" i="7" s="1"/>
  <c r="E67" i="7"/>
  <c r="E49" i="7"/>
  <c r="E46" i="7" s="1"/>
  <c r="E47" i="7"/>
  <c r="E16" i="7"/>
  <c r="E64" i="7"/>
  <c r="E61" i="7" s="1"/>
  <c r="E62" i="7"/>
  <c r="F16" i="7"/>
  <c r="F64" i="7"/>
  <c r="F61" i="7" s="1"/>
  <c r="F62" i="7"/>
  <c r="F22" i="7"/>
  <c r="F28" i="7"/>
  <c r="F27" i="7"/>
  <c r="E23" i="7"/>
  <c r="F20" i="7"/>
  <c r="F26" i="7"/>
  <c r="E28" i="7"/>
  <c r="F23" i="7"/>
  <c r="E20" i="7"/>
  <c r="E24" i="7"/>
  <c r="E21" i="7"/>
  <c r="F21" i="7"/>
  <c r="F24" i="7"/>
  <c r="E25" i="7"/>
  <c r="F25" i="7"/>
  <c r="E27" i="7"/>
  <c r="E22" i="7"/>
  <c r="E26" i="7"/>
  <c r="F15" i="7"/>
  <c r="E15" i="7"/>
  <c r="E59" i="7"/>
  <c r="E56" i="7" s="1"/>
  <c r="E57" i="7"/>
  <c r="F79" i="7"/>
  <c r="F76" i="7" s="1"/>
  <c r="F77" i="7"/>
  <c r="E88" i="7"/>
  <c r="F32" i="7"/>
  <c r="E18" i="7"/>
  <c r="F18" i="7"/>
  <c r="E82" i="7"/>
  <c r="E84" i="7"/>
  <c r="E81" i="7" s="1"/>
  <c r="F82" i="7"/>
  <c r="F84" i="7"/>
  <c r="F81" i="7" s="1"/>
  <c r="H57" i="6"/>
  <c r="H59" i="6" s="1"/>
  <c r="G57" i="6"/>
  <c r="G59" i="6" s="1"/>
  <c r="G23" i="6"/>
  <c r="D34" i="7"/>
  <c r="E6" i="8" l="1"/>
  <c r="E25" i="8"/>
  <c r="C10" i="12"/>
  <c r="I30" i="6"/>
  <c r="J30" i="6" s="1"/>
  <c r="E4" i="9"/>
  <c r="E32" i="14" s="1"/>
  <c r="I9" i="6"/>
  <c r="E17" i="8" s="1"/>
  <c r="D5" i="12"/>
  <c r="I8" i="6"/>
  <c r="J8" i="6" s="1"/>
  <c r="I7" i="6"/>
  <c r="F29" i="7"/>
  <c r="E29" i="7"/>
  <c r="F31" i="7"/>
  <c r="E31" i="7"/>
  <c r="E34" i="7" s="1"/>
  <c r="E39" i="7" s="1"/>
  <c r="F34" i="7"/>
  <c r="F88" i="7"/>
  <c r="E87" i="7"/>
  <c r="E89" i="7"/>
  <c r="E86" i="7" s="1"/>
  <c r="D39" i="7"/>
  <c r="C39" i="7"/>
  <c r="E72" i="7"/>
  <c r="F72" i="7"/>
  <c r="E74" i="7"/>
  <c r="E71" i="7" s="1"/>
  <c r="F74" i="7"/>
  <c r="F71" i="7" s="1"/>
  <c r="C41" i="7" l="1"/>
  <c r="B4" i="10" s="1"/>
  <c r="B6" i="10" s="1"/>
  <c r="B12" i="10" s="1"/>
  <c r="C105" i="7"/>
  <c r="D41" i="7"/>
  <c r="C4" i="10" s="1"/>
  <c r="C6" i="10" s="1"/>
  <c r="C12" i="10" s="1"/>
  <c r="D3" i="10" s="1"/>
  <c r="D105" i="7"/>
  <c r="E105" i="7" s="1"/>
  <c r="E40" i="7" s="1"/>
  <c r="E29" i="14" s="1"/>
  <c r="E4" i="8"/>
  <c r="E20" i="8"/>
  <c r="E41" i="8"/>
  <c r="E43" i="8" s="1"/>
  <c r="D11" i="12"/>
  <c r="E3" i="12"/>
  <c r="E7" i="12" s="1"/>
  <c r="I46" i="6"/>
  <c r="E5" i="12"/>
  <c r="I35" i="6"/>
  <c r="E36" i="14" s="1"/>
  <c r="F4" i="9"/>
  <c r="F32" i="14" s="1"/>
  <c r="E18" i="8"/>
  <c r="F21" i="8"/>
  <c r="E21" i="8"/>
  <c r="F20" i="8"/>
  <c r="J9" i="6"/>
  <c r="F17" i="8" s="1"/>
  <c r="J7" i="6"/>
  <c r="F18" i="8" s="1"/>
  <c r="F89" i="7"/>
  <c r="F86" i="7" s="1"/>
  <c r="F87" i="7"/>
  <c r="E41" i="7" l="1"/>
  <c r="E24" i="8"/>
  <c r="E27" i="8" s="1"/>
  <c r="F41" i="8"/>
  <c r="F43" i="8" s="1"/>
  <c r="E11" i="12"/>
  <c r="D10" i="12"/>
  <c r="E9" i="12"/>
  <c r="E13" i="12" s="1"/>
  <c r="I48" i="6"/>
  <c r="J46" i="6"/>
  <c r="J35" i="6"/>
  <c r="F36" i="14" s="1"/>
  <c r="D6" i="11" l="1"/>
  <c r="E51" i="8" s="1"/>
  <c r="D4" i="10"/>
  <c r="D4" i="11"/>
  <c r="F37" i="7"/>
  <c r="F6" i="8" s="1"/>
  <c r="F25" i="8"/>
  <c r="E10" i="12"/>
  <c r="J48" i="6"/>
  <c r="D5" i="10" l="1"/>
  <c r="D6" i="10" s="1"/>
  <c r="D9" i="11"/>
  <c r="E3" i="11" s="1"/>
  <c r="D11" i="10"/>
  <c r="E50" i="8" s="1"/>
  <c r="E54" i="8" s="1"/>
  <c r="E56" i="8" s="1"/>
  <c r="F39" i="7"/>
  <c r="F4" i="8" s="1"/>
  <c r="E12" i="9"/>
  <c r="E13" i="9" s="1"/>
  <c r="E6" i="9"/>
  <c r="D12" i="10" l="1"/>
  <c r="I54" i="6" s="1"/>
  <c r="I56" i="6"/>
  <c r="I6" i="6"/>
  <c r="F40" i="7"/>
  <c r="F3" i="9"/>
  <c r="I17" i="6"/>
  <c r="I21" i="6" s="1"/>
  <c r="F24" i="8" l="1"/>
  <c r="F27" i="8" s="1"/>
  <c r="F29" i="14"/>
  <c r="I57" i="6"/>
  <c r="I59" i="6" s="1"/>
  <c r="E3" i="10"/>
  <c r="I11" i="6"/>
  <c r="E35" i="14" s="1"/>
  <c r="F55" i="8"/>
  <c r="F41" i="7"/>
  <c r="F5" i="9"/>
  <c r="D34" i="14" l="1"/>
  <c r="D33" i="14" s="1"/>
  <c r="D37" i="14" s="1"/>
  <c r="I23" i="6"/>
  <c r="F12" i="9"/>
  <c r="F13" i="9" s="1"/>
  <c r="J18" i="6"/>
  <c r="E4" i="10"/>
  <c r="E6" i="11"/>
  <c r="F51" i="8" s="1"/>
  <c r="E4" i="11"/>
  <c r="F6" i="9"/>
  <c r="J17" i="6" s="1"/>
  <c r="J21" i="6" l="1"/>
  <c r="E5" i="10"/>
  <c r="E6" i="10" s="1"/>
  <c r="E11" i="10"/>
  <c r="F50" i="8" s="1"/>
  <c r="F54" i="8" s="1"/>
  <c r="F56" i="8" s="1"/>
  <c r="J6" i="6" s="1"/>
  <c r="J11" i="6" s="1"/>
  <c r="F35" i="14" s="1"/>
  <c r="E9" i="11"/>
  <c r="J56" i="6" s="1"/>
  <c r="F34" i="14" l="1"/>
  <c r="E34" i="14"/>
  <c r="E33" i="14" s="1"/>
  <c r="E37" i="14" s="1"/>
  <c r="J23" i="6"/>
  <c r="E12" i="10"/>
  <c r="J54" i="6" s="1"/>
  <c r="J57" i="6" s="1"/>
  <c r="J59" i="6" s="1"/>
  <c r="E44" i="14" l="1"/>
  <c r="E46" i="14"/>
  <c r="F33" i="14"/>
  <c r="F37" i="14" s="1"/>
  <c r="F44" i="14" s="1"/>
  <c r="I56" i="14" l="1"/>
  <c r="F46" i="14"/>
  <c r="C48" i="14" s="1"/>
  <c r="I57" i="14" l="1"/>
  <c r="I58" i="14" s="1"/>
  <c r="I53" i="14"/>
  <c r="C53" i="14"/>
  <c r="C59" i="14" s="1"/>
  <c r="I59" i="14" l="1"/>
  <c r="C62" i="14" s="1"/>
  <c r="C68" i="14" s="1"/>
  <c r="C70" i="14" s="1"/>
  <c r="B7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9" authorId="0" shapeId="0" xr:uid="{CB21A3DA-76BA-41A4-8428-F99752BAD12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I54" authorId="0" shapeId="0" xr:uid="{C0A60EA1-3D46-45BF-80AB-3B82A049036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assumption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F3" authorId="0" shapeId="0" xr:uid="{E0A6E74B-B857-4AF0-86CA-7A1747244DA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31 March 2026 as financial statements from 31 december is not avalailable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12" authorId="0" shapeId="0" xr:uid="{0BECFF53-6FC5-4E94-B67C-A7D3A53537F3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E47" authorId="0" shapeId="0" xr:uid="{BC904C77-913C-4958-B1F9-2D8DD818FC5B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2" authorId="0" shapeId="0" xr:uid="{D4CE894F-573E-49EA-8389-DB0C7BCE45F0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4" authorId="0" shapeId="0" xr:uid="{5B5E6485-EE0B-409F-8FBC-B0BBA0B934AA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7" authorId="0" shapeId="0" xr:uid="{FDDAC95A-D1CA-4AB0-B212-524439BF0C88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9" authorId="0" shapeId="0" xr:uid="{EC2FC287-6017-42BE-BD52-821DDF77BFB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2" authorId="0" shapeId="0" xr:uid="{61B03C8A-CD7E-4EAD-BBF7-C6E6E26B143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4" authorId="0" shapeId="0" xr:uid="{0DDC8ABA-AD48-4E70-B762-E30D6AB862ED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7" authorId="0" shapeId="0" xr:uid="{9A14FC3C-A575-4F11-9FFE-CE11B0706F7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9" authorId="0" shapeId="0" xr:uid="{D38B4643-1FFF-4C0C-85D7-E7FA3CDB01A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DE2F2B-EB23-476A-926D-E5E148D07F7A}" keepAlive="1" name="Query - Table162 (Page 119)" description="Connection to the 'Table162 (Page 119)' query in the workbook." type="5" refreshedVersion="0" background="1">
    <dbPr connection="Provider=Microsoft.Mashup.OleDb.1;Data Source=$Workbook$;Location=&quot;Table162 (Page 119)&quot;;Extended Properties=&quot;&quot;" command="SELECT * FROM [Table162 (Page 119)]"/>
  </connection>
</connections>
</file>

<file path=xl/sharedStrings.xml><?xml version="1.0" encoding="utf-8"?>
<sst xmlns="http://schemas.openxmlformats.org/spreadsheetml/2006/main" count="441" uniqueCount="252">
  <si>
    <t>Net income</t>
  </si>
  <si>
    <t>Income Statement</t>
  </si>
  <si>
    <t>Current assets:</t>
  </si>
  <si>
    <t>Inventories</t>
  </si>
  <si>
    <t>Total current assets</t>
  </si>
  <si>
    <t>Non-current assets:</t>
  </si>
  <si>
    <t>Total assets</t>
  </si>
  <si>
    <t>Total current liabilities</t>
  </si>
  <si>
    <t>Total non-current liabilities</t>
  </si>
  <si>
    <t xml:space="preserve"> </t>
  </si>
  <si>
    <t>Balance Sheet</t>
  </si>
  <si>
    <t>Net Sales</t>
  </si>
  <si>
    <t>Operating expenses</t>
  </si>
  <si>
    <t> </t>
  </si>
  <si>
    <t>–</t>
  </si>
  <si>
    <t>Staff costs</t>
  </si>
  <si>
    <t>Contract services and subcontractor costs</t>
  </si>
  <si>
    <t>Fuel and electricity costs</t>
  </si>
  <si>
    <t>Depreciation and amortisation</t>
  </si>
  <si>
    <t>Repairs and maintenance costs</t>
  </si>
  <si>
    <t>Materials and consumables costs</t>
  </si>
  <si>
    <t>Insurance premiums and accident claims</t>
  </si>
  <si>
    <t>Premises costs</t>
  </si>
  <si>
    <t>Road tax and licence fees</t>
  </si>
  <si>
    <t>Utilities,It and communication costs</t>
  </si>
  <si>
    <t>Taxi drivers’ benefits</t>
  </si>
  <si>
    <t>Advertising production and promotion costs</t>
  </si>
  <si>
    <t>Professional fees</t>
  </si>
  <si>
    <t>Impairment of good will</t>
  </si>
  <si>
    <t>Net gain on disposal of vehicles,premises and equipment</t>
  </si>
  <si>
    <t>Other operating costs</t>
  </si>
  <si>
    <t>Total operating costs</t>
  </si>
  <si>
    <t>Investments income</t>
  </si>
  <si>
    <t>Other income/(costs)</t>
  </si>
  <si>
    <t>Finance costs</t>
  </si>
  <si>
    <t>Share of results of associates and joint ventures</t>
  </si>
  <si>
    <t>Taxation</t>
  </si>
  <si>
    <t>profit after taxation</t>
  </si>
  <si>
    <t>Prepayments</t>
  </si>
  <si>
    <t>Short-term deposits and bank balances</t>
  </si>
  <si>
    <t>Trade and other receivables</t>
  </si>
  <si>
    <t>Assets held for sale</t>
  </si>
  <si>
    <t>Investments</t>
  </si>
  <si>
    <t>Goodwill</t>
  </si>
  <si>
    <t>Total Non-current Assets</t>
  </si>
  <si>
    <t>Current liabilities</t>
  </si>
  <si>
    <t>Borrowings</t>
  </si>
  <si>
    <t>Non-current liabilities</t>
  </si>
  <si>
    <t>Total liabilites</t>
  </si>
  <si>
    <t>Equity attributable to shareholders of the Company</t>
  </si>
  <si>
    <t>Total equity</t>
  </si>
  <si>
    <t>Total liabilities and capital</t>
  </si>
  <si>
    <t>Company name</t>
  </si>
  <si>
    <t>ticker</t>
  </si>
  <si>
    <t>Three sheet statement model ComfortDelgro</t>
  </si>
  <si>
    <t>Circuit break(0=on, 1=off)</t>
  </si>
  <si>
    <t>Fiscal year end date</t>
  </si>
  <si>
    <t xml:space="preserve">ComfortDelgro </t>
  </si>
  <si>
    <t>C52</t>
  </si>
  <si>
    <t>Income statement</t>
  </si>
  <si>
    <t>SGD in millions</t>
  </si>
  <si>
    <t>EBITDA</t>
  </si>
  <si>
    <t>EBIT</t>
  </si>
  <si>
    <t>EBT</t>
  </si>
  <si>
    <t>SGD in million</t>
  </si>
  <si>
    <t>Associates and joint ventures</t>
  </si>
  <si>
    <t>Vehicles, premises and equipment</t>
  </si>
  <si>
    <t>Intangible assets</t>
  </si>
  <si>
    <t>Deferred tax assets</t>
  </si>
  <si>
    <t>Lease liabilities from financial institutions</t>
  </si>
  <si>
    <t>Lease liabilities</t>
  </si>
  <si>
    <t>Trade and other payables</t>
  </si>
  <si>
    <t>Deferred grants</t>
  </si>
  <si>
    <t>Fuel price equalisation account</t>
  </si>
  <si>
    <t>Provision for accident claims</t>
  </si>
  <si>
    <t>Income tax payable</t>
  </si>
  <si>
    <t>Provision for service benefits and long service award</t>
  </si>
  <si>
    <t>Other liabilities</t>
  </si>
  <si>
    <t>Deferred tax liabilities</t>
  </si>
  <si>
    <t>Share capital</t>
  </si>
  <si>
    <t>Treasury shares</t>
  </si>
  <si>
    <t>Other reserves</t>
  </si>
  <si>
    <t>Foreign currency translation reserve</t>
  </si>
  <si>
    <t>Retained earnings</t>
  </si>
  <si>
    <t>Non-controlling interests</t>
  </si>
  <si>
    <t xml:space="preserve"> Borrowings</t>
  </si>
  <si>
    <t xml:space="preserve"> Lease liabilities from financial institutions</t>
  </si>
  <si>
    <t xml:space="preserve"> Lease liabilities</t>
  </si>
  <si>
    <t xml:space="preserve"> Deferred grants</t>
  </si>
  <si>
    <t xml:space="preserve"> Fuel price equalisation account</t>
  </si>
  <si>
    <t xml:space="preserve"> borrowings</t>
  </si>
  <si>
    <t>Scenario assumptions</t>
  </si>
  <si>
    <t>Revenue growth</t>
  </si>
  <si>
    <t>selected case</t>
  </si>
  <si>
    <t>Best case</t>
  </si>
  <si>
    <t>Base case</t>
  </si>
  <si>
    <t>worst case</t>
  </si>
  <si>
    <t xml:space="preserve"> Trade and other receivables</t>
  </si>
  <si>
    <t>variance</t>
  </si>
  <si>
    <t>Cash Flow Statement</t>
  </si>
  <si>
    <t>Forecast</t>
  </si>
  <si>
    <t>$ in millions</t>
  </si>
  <si>
    <t>Operating Cash Flow</t>
  </si>
  <si>
    <t>Investing Cash Flow</t>
  </si>
  <si>
    <t>Financing Cash Flow</t>
  </si>
  <si>
    <t>Net Cash Flow</t>
  </si>
  <si>
    <t>Others</t>
  </si>
  <si>
    <t>Profit before Taxation</t>
  </si>
  <si>
    <t>Dividend income</t>
  </si>
  <si>
    <t>Net gain on disposal of assets held for sale</t>
  </si>
  <si>
    <t>Net gain on disposal of subsidiaries</t>
  </si>
  <si>
    <t>Net gain on disposal of investments</t>
  </si>
  <si>
    <t>Impairment of goodwill</t>
  </si>
  <si>
    <t>Allowance for inventory obsolescence</t>
  </si>
  <si>
    <t>Allowance for/(reversal of) expected credit losses</t>
  </si>
  <si>
    <t>Payments of service benefits and long service awards</t>
  </si>
  <si>
    <t>Payments of accident claims</t>
  </si>
  <si>
    <t xml:space="preserve">Income tax paid </t>
  </si>
  <si>
    <t xml:space="preserve">Interest paid arising from leases </t>
  </si>
  <si>
    <t>Purchases of vehicles, premises and equipment</t>
  </si>
  <si>
    <t>Less: Proceeds from disposal of vehicles, premises and equipment</t>
  </si>
  <si>
    <t>Cash payments on purchase of vehicles, premises and equipment</t>
  </si>
  <si>
    <t>Proceeds from disposal of asset held for sale</t>
  </si>
  <si>
    <t>Proceeds from disposal of subsidiaries</t>
  </si>
  <si>
    <t>Proceeds from disposal of investments</t>
  </si>
  <si>
    <t>Investments made</t>
  </si>
  <si>
    <t>Additions to intangible assets</t>
  </si>
  <si>
    <t>Acquisition of business/ subsidiaries, net of cash</t>
  </si>
  <si>
    <t>Increase in investment in associates and joint ventures</t>
  </si>
  <si>
    <t>Interest received</t>
  </si>
  <si>
    <t>Dividend received from associate/ investments</t>
  </si>
  <si>
    <t>Fixed Assets Schedule</t>
  </si>
  <si>
    <t>Actuals</t>
  </si>
  <si>
    <t>Beginning PP&amp;E</t>
  </si>
  <si>
    <t>Capital Expenditures</t>
  </si>
  <si>
    <t>Depreciation related to PPE</t>
  </si>
  <si>
    <t>Ending PP&amp;E</t>
  </si>
  <si>
    <t>Fixed Assets Metrics:</t>
  </si>
  <si>
    <t>Total Depreciation &amp; Amortization</t>
  </si>
  <si>
    <t>D&amp;A not related to PPE</t>
  </si>
  <si>
    <t>D&amp;A not related to PPE as % of Revenue</t>
  </si>
  <si>
    <t>Total D&amp;A</t>
  </si>
  <si>
    <t>D&amp;A related to PP&amp;E as % of beginning PP&amp;E</t>
  </si>
  <si>
    <t>Retained earningss Schedule</t>
  </si>
  <si>
    <t>Beginning retained earnings</t>
  </si>
  <si>
    <t>Ending retained earnings</t>
  </si>
  <si>
    <t>Dividends paid</t>
  </si>
  <si>
    <t xml:space="preserve">dividends received </t>
  </si>
  <si>
    <t xml:space="preserve">transfer of fair velue reserves </t>
  </si>
  <si>
    <t>transfer of asset revaluation reserve on disposal</t>
  </si>
  <si>
    <t>less:non controlling interests</t>
  </si>
  <si>
    <t>portion of net income transferred to retained earnings account</t>
  </si>
  <si>
    <t>other reserves</t>
  </si>
  <si>
    <t>Non controlling interests  Schedule</t>
  </si>
  <si>
    <t xml:space="preserve">Beginning non-controlling interests </t>
  </si>
  <si>
    <t>less:payment of dividends</t>
  </si>
  <si>
    <t>other comprehensive income/(loss)</t>
  </si>
  <si>
    <t>Acquisition of non controlling interests</t>
  </si>
  <si>
    <t xml:space="preserve">ending non controlling interests  </t>
  </si>
  <si>
    <t xml:space="preserve">New loans raised </t>
  </si>
  <si>
    <t>Repayment of borrowings and lease liabilities from financial institutions</t>
  </si>
  <si>
    <t>Repayment of lease liabilities</t>
  </si>
  <si>
    <t>Acquisition of non-controlling interests</t>
  </si>
  <si>
    <t>Capital contribution from non-controlling shareholder of a subsidiary</t>
  </si>
  <si>
    <t>Dividends paid to shareholders of the Company</t>
  </si>
  <si>
    <t>Dividends paid to non-controlling shareholders of subsidiaries</t>
  </si>
  <si>
    <t>Purchase of treasury shares</t>
  </si>
  <si>
    <t>Interest paid</t>
  </si>
  <si>
    <t>Debt Schedule</t>
  </si>
  <si>
    <t>Beginning borrowings</t>
  </si>
  <si>
    <t>additions/(repayments)</t>
  </si>
  <si>
    <t>ending borrowings</t>
  </si>
  <si>
    <t>Implied interest rate</t>
  </si>
  <si>
    <t>loan interest expense</t>
  </si>
  <si>
    <t>Beginning lease liabilities</t>
  </si>
  <si>
    <t>ending lease liabilities</t>
  </si>
  <si>
    <t>lease liabilities interest expense</t>
  </si>
  <si>
    <t>beginning cash flow</t>
  </si>
  <si>
    <t>Interest income</t>
  </si>
  <si>
    <t>capital expenditures</t>
  </si>
  <si>
    <t>Share Price Date</t>
  </si>
  <si>
    <t>Unlevered Free Cash Flow (UFCF) in mm</t>
  </si>
  <si>
    <t>Fiscal Year</t>
  </si>
  <si>
    <t>Fiscal Year End Date</t>
  </si>
  <si>
    <t>Revenue</t>
  </si>
  <si>
    <t>Operating Expenses:</t>
  </si>
  <si>
    <t>Depreciation and Amortization</t>
  </si>
  <si>
    <t>NOPAT (Net Operating Profit After Taxes)</t>
  </si>
  <si>
    <t>(+) Depreciation &amp; Amortization</t>
  </si>
  <si>
    <t>(-) Capital Expenditures</t>
  </si>
  <si>
    <t>(-) Change in NWC</t>
  </si>
  <si>
    <t>NWC</t>
  </si>
  <si>
    <t>Current Assets</t>
  </si>
  <si>
    <t>Current Liabilitites</t>
  </si>
  <si>
    <t>Unlevered Free Cash Flow</t>
  </si>
  <si>
    <t>Comfortdelgro Share Price</t>
  </si>
  <si>
    <t>UFCF</t>
  </si>
  <si>
    <t>Period</t>
  </si>
  <si>
    <t>PV of UFCF</t>
  </si>
  <si>
    <t>Weighted Average Cost of Capital</t>
  </si>
  <si>
    <t>Cost of Debt</t>
  </si>
  <si>
    <t>Cost of Equity</t>
  </si>
  <si>
    <t>Cost of debt</t>
  </si>
  <si>
    <t>Risk free rate</t>
  </si>
  <si>
    <t>Tax Rate</t>
  </si>
  <si>
    <t>Beta</t>
  </si>
  <si>
    <t>After tax cost of debt</t>
  </si>
  <si>
    <t>Market risk premium</t>
  </si>
  <si>
    <t>Cost of equity</t>
  </si>
  <si>
    <t>Capital Structure Weights</t>
  </si>
  <si>
    <t>Equity</t>
  </si>
  <si>
    <t>Debt</t>
  </si>
  <si>
    <t>Weighted Average Cost of Capital (WACC)</t>
  </si>
  <si>
    <t>total</t>
  </si>
  <si>
    <t>Equity weight</t>
  </si>
  <si>
    <t>debt weight</t>
  </si>
  <si>
    <t>Sum of pv</t>
  </si>
  <si>
    <t>Terminal Value Exit Multiple Method</t>
  </si>
  <si>
    <t>Terminal Value Growth Perpetuity Method</t>
  </si>
  <si>
    <t>Sum of PV of FCF</t>
  </si>
  <si>
    <t>Exit EBITDA</t>
  </si>
  <si>
    <t>Growth Rate</t>
  </si>
  <si>
    <t>Exit Multiple (EV / EBITDA)</t>
  </si>
  <si>
    <t>WACC</t>
  </si>
  <si>
    <t>Terminal Year FCF</t>
  </si>
  <si>
    <t>Terminal Value</t>
  </si>
  <si>
    <t>PV of Terminal Value</t>
  </si>
  <si>
    <t>Enterprise Value</t>
  </si>
  <si>
    <t>Company Names</t>
  </si>
  <si>
    <t>EV/ EBITDA</t>
  </si>
  <si>
    <t>Average EV/ EBITDA</t>
  </si>
  <si>
    <t>Median EV/ EBITDA</t>
  </si>
  <si>
    <t>Mobico Group plc</t>
  </si>
  <si>
    <t>FirstGroup plc</t>
  </si>
  <si>
    <t>kelsian group limited</t>
  </si>
  <si>
    <t>EV</t>
  </si>
  <si>
    <t>Enterprise Value to Equity Value</t>
  </si>
  <si>
    <t>+ Cash &amp; Cash Equivalents</t>
  </si>
  <si>
    <t>- Debt (ST + LT)</t>
  </si>
  <si>
    <t>- Minority Interest</t>
  </si>
  <si>
    <t>- Preferred Stock</t>
  </si>
  <si>
    <t>- Convertible Debt</t>
  </si>
  <si>
    <t>Equity Value</t>
  </si>
  <si>
    <t>Shares Outstanding</t>
  </si>
  <si>
    <t>Implied Share Price</t>
  </si>
  <si>
    <t>Diluted shares oustanbding</t>
  </si>
  <si>
    <t xml:space="preserve">Basic shares oustanding </t>
  </si>
  <si>
    <t>options</t>
  </si>
  <si>
    <t>convertibles</t>
  </si>
  <si>
    <t>treasury shares</t>
  </si>
  <si>
    <t>Sensitivity table</t>
  </si>
  <si>
    <t>Exit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</si>
</sst>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#,##0.0"/>
    <numFmt numFmtId="165" formatCode="#,##0.0;\-#,##0.0"/>
    <numFmt numFmtId="166" formatCode="0.0"/>
    <numFmt numFmtId="167" formatCode="0.0%"/>
    <numFmt numFmtId="168" formatCode="_(* #,##0_);_(* \(#,##0\);_(* &quot;-&quot;??_);_(@_)"/>
    <numFmt numFmtId="169" formatCode="_(* #,##0.00_);_(* \(#,##0.00\);_(* &quot;-&quot;??_);_(@_)"/>
    <numFmt numFmtId="170" formatCode="#\A"/>
    <numFmt numFmtId="171" formatCode="#\E"/>
    <numFmt numFmtId="172" formatCode="dd/mm/yy"/>
    <numFmt numFmtId="173" formatCode="#,##0_ ;\-#,##0\ "/>
    <numFmt numFmtId="174" formatCode="0.0000000000000000%"/>
    <numFmt numFmtId="175" formatCode="#,###.00\x"/>
    <numFmt numFmtId="176" formatCode="#.##\x"/>
    <numFmt numFmtId="177" formatCode="#.###\x"/>
    <numFmt numFmtId="178" formatCode="General\ \x"/>
  </numFmts>
  <fonts count="32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rgb="FF07367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1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1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1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7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169" fontId="26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109">
    <xf numFmtId="0" fontId="0" fillId="0" borderId="0" xfId="0"/>
    <xf numFmtId="3" fontId="0" fillId="0" borderId="0" xfId="0" applyNumberFormat="1"/>
    <xf numFmtId="10" fontId="0" fillId="0" borderId="0" xfId="0" applyNumberFormat="1"/>
    <xf numFmtId="37" fontId="18" fillId="0" borderId="0" xfId="0" applyNumberFormat="1" applyFont="1" applyAlignment="1">
      <alignment horizontal="right" vertical="top"/>
    </xf>
    <xf numFmtId="0" fontId="18" fillId="0" borderId="0" xfId="0" applyFont="1" applyAlignment="1">
      <alignment vertical="top" wrapText="1"/>
    </xf>
    <xf numFmtId="0" fontId="0" fillId="0" borderId="0" xfId="0" applyAlignment="1">
      <alignment horizontal="left" indent="1"/>
    </xf>
    <xf numFmtId="37" fontId="0" fillId="0" borderId="0" xfId="0" applyNumberFormat="1"/>
    <xf numFmtId="4" fontId="0" fillId="0" borderId="0" xfId="0" applyNumberFormat="1"/>
    <xf numFmtId="0" fontId="20" fillId="0" borderId="0" xfId="0" applyFont="1"/>
    <xf numFmtId="0" fontId="20" fillId="33" borderId="10" xfId="0" applyFont="1" applyFill="1" applyBorder="1"/>
    <xf numFmtId="4" fontId="20" fillId="33" borderId="10" xfId="0" applyNumberFormat="1" applyFont="1" applyFill="1" applyBorder="1"/>
    <xf numFmtId="164" fontId="0" fillId="0" borderId="0" xfId="0" applyNumberFormat="1"/>
    <xf numFmtId="0" fontId="20" fillId="0" borderId="10" xfId="0" applyFont="1" applyBorder="1"/>
    <xf numFmtId="164" fontId="20" fillId="0" borderId="10" xfId="0" applyNumberFormat="1" applyFont="1" applyBorder="1"/>
    <xf numFmtId="165" fontId="18" fillId="0" borderId="0" xfId="0" applyNumberFormat="1" applyFont="1" applyAlignment="1">
      <alignment horizontal="right" vertical="top"/>
    </xf>
    <xf numFmtId="37" fontId="21" fillId="0" borderId="0" xfId="0" applyNumberFormat="1" applyFont="1" applyAlignment="1">
      <alignment horizontal="right" vertical="top"/>
    </xf>
    <xf numFmtId="37" fontId="21" fillId="0" borderId="10" xfId="0" applyNumberFormat="1" applyFont="1" applyBorder="1" applyAlignment="1">
      <alignment horizontal="right" vertical="top"/>
    </xf>
    <xf numFmtId="37" fontId="20" fillId="0" borderId="10" xfId="0" applyNumberFormat="1" applyFont="1" applyBorder="1"/>
    <xf numFmtId="37" fontId="20" fillId="0" borderId="0" xfId="0" applyNumberFormat="1" applyFont="1"/>
    <xf numFmtId="165" fontId="0" fillId="0" borderId="0" xfId="0" applyNumberFormat="1"/>
    <xf numFmtId="165" fontId="20" fillId="0" borderId="10" xfId="0" applyNumberFormat="1" applyFont="1" applyBorder="1"/>
    <xf numFmtId="0" fontId="0" fillId="34" borderId="11" xfId="0" applyFill="1" applyBorder="1"/>
    <xf numFmtId="14" fontId="0" fillId="34" borderId="11" xfId="0" applyNumberFormat="1" applyFill="1" applyBorder="1"/>
    <xf numFmtId="0" fontId="0" fillId="35" borderId="0" xfId="0" applyFill="1"/>
    <xf numFmtId="0" fontId="19" fillId="35" borderId="0" xfId="0" applyFont="1" applyFill="1"/>
    <xf numFmtId="0" fontId="20" fillId="33" borderId="0" xfId="0" applyFont="1" applyFill="1"/>
    <xf numFmtId="4" fontId="20" fillId="33" borderId="0" xfId="0" applyNumberFormat="1" applyFont="1" applyFill="1"/>
    <xf numFmtId="4" fontId="20" fillId="0" borderId="10" xfId="0" applyNumberFormat="1" applyFont="1" applyBorder="1"/>
    <xf numFmtId="0" fontId="20" fillId="36" borderId="12" xfId="0" applyFont="1" applyFill="1" applyBorder="1"/>
    <xf numFmtId="0" fontId="0" fillId="0" borderId="10" xfId="0" applyBorder="1"/>
    <xf numFmtId="0" fontId="20" fillId="34" borderId="12" xfId="0" applyFont="1" applyFill="1" applyBorder="1"/>
    <xf numFmtId="0" fontId="23" fillId="0" borderId="0" xfId="0" applyFont="1"/>
    <xf numFmtId="0" fontId="20" fillId="37" borderId="0" xfId="0" applyFont="1" applyFill="1"/>
    <xf numFmtId="0" fontId="0" fillId="37" borderId="0" xfId="0" applyFill="1"/>
    <xf numFmtId="10" fontId="0" fillId="37" borderId="0" xfId="0" applyNumberFormat="1" applyFill="1"/>
    <xf numFmtId="0" fontId="19" fillId="0" borderId="0" xfId="0" applyFont="1"/>
    <xf numFmtId="10" fontId="23" fillId="37" borderId="0" xfId="0" applyNumberFormat="1" applyFont="1" applyFill="1"/>
    <xf numFmtId="166" fontId="0" fillId="0" borderId="0" xfId="0" applyNumberFormat="1"/>
    <xf numFmtId="4" fontId="20" fillId="0" borderId="0" xfId="0" applyNumberFormat="1" applyFont="1"/>
    <xf numFmtId="167" fontId="20" fillId="37" borderId="0" xfId="0" applyNumberFormat="1" applyFont="1" applyFill="1"/>
    <xf numFmtId="10" fontId="20" fillId="37" borderId="0" xfId="0" applyNumberFormat="1" applyFont="1" applyFill="1"/>
    <xf numFmtId="0" fontId="19" fillId="38" borderId="0" xfId="0" applyFont="1" applyFill="1"/>
    <xf numFmtId="0" fontId="19" fillId="39" borderId="0" xfId="0" applyFont="1" applyFill="1"/>
    <xf numFmtId="168" fontId="0" fillId="0" borderId="0" xfId="0" applyNumberFormat="1"/>
    <xf numFmtId="168" fontId="20" fillId="0" borderId="10" xfId="44" applyNumberFormat="1" applyFont="1" applyBorder="1"/>
    <xf numFmtId="168" fontId="20" fillId="34" borderId="12" xfId="44" applyNumberFormat="1" applyFont="1" applyFill="1" applyBorder="1"/>
    <xf numFmtId="166" fontId="20" fillId="34" borderId="12" xfId="0" applyNumberFormat="1" applyFont="1" applyFill="1" applyBorder="1"/>
    <xf numFmtId="168" fontId="23" fillId="0" borderId="0" xfId="0" applyNumberFormat="1" applyFont="1"/>
    <xf numFmtId="168" fontId="20" fillId="0" borderId="0" xfId="44" applyNumberFormat="1" applyFont="1" applyBorder="1"/>
    <xf numFmtId="0" fontId="19" fillId="39" borderId="0" xfId="0" applyFont="1" applyFill="1" applyAlignment="1">
      <alignment horizontal="centerContinuous"/>
    </xf>
    <xf numFmtId="168" fontId="27" fillId="0" borderId="0" xfId="0" applyNumberFormat="1" applyFont="1"/>
    <xf numFmtId="3" fontId="20" fillId="34" borderId="12" xfId="0" applyNumberFormat="1" applyFont="1" applyFill="1" applyBorder="1"/>
    <xf numFmtId="167" fontId="0" fillId="37" borderId="0" xfId="45" applyNumberFormat="1" applyFont="1" applyFill="1"/>
    <xf numFmtId="0" fontId="0" fillId="39" borderId="0" xfId="0" applyFill="1"/>
    <xf numFmtId="167" fontId="0" fillId="0" borderId="0" xfId="45" applyNumberFormat="1" applyFont="1"/>
    <xf numFmtId="167" fontId="0" fillId="0" borderId="0" xfId="0" applyNumberFormat="1"/>
    <xf numFmtId="168" fontId="28" fillId="0" borderId="0" xfId="0" applyNumberFormat="1" applyFont="1"/>
    <xf numFmtId="166" fontId="0" fillId="0" borderId="10" xfId="0" applyNumberFormat="1" applyBorder="1"/>
    <xf numFmtId="166" fontId="20" fillId="36" borderId="12" xfId="0" applyNumberFormat="1" applyFont="1" applyFill="1" applyBorder="1"/>
    <xf numFmtId="37" fontId="23" fillId="0" borderId="0" xfId="0" applyNumberFormat="1" applyFont="1"/>
    <xf numFmtId="43" fontId="0" fillId="0" borderId="0" xfId="0" applyNumberFormat="1"/>
    <xf numFmtId="0" fontId="20" fillId="34" borderId="10" xfId="0" applyFont="1" applyFill="1" applyBorder="1"/>
    <xf numFmtId="166" fontId="20" fillId="34" borderId="10" xfId="0" applyNumberFormat="1" applyFont="1" applyFill="1" applyBorder="1"/>
    <xf numFmtId="168" fontId="26" fillId="0" borderId="0" xfId="44" applyNumberFormat="1" applyFont="1" applyBorder="1"/>
    <xf numFmtId="166" fontId="20" fillId="0" borderId="10" xfId="0" applyNumberFormat="1" applyFont="1" applyBorder="1"/>
    <xf numFmtId="0" fontId="30" fillId="0" borderId="13" xfId="0" applyFont="1" applyBorder="1"/>
    <xf numFmtId="0" fontId="0" fillId="0" borderId="13" xfId="0" applyBorder="1"/>
    <xf numFmtId="0" fontId="0" fillId="0" borderId="0" xfId="0" applyAlignment="1">
      <alignment horizontal="right"/>
    </xf>
    <xf numFmtId="0" fontId="27" fillId="34" borderId="11" xfId="0" applyFont="1" applyFill="1" applyBorder="1" applyAlignment="1">
      <alignment horizontal="center"/>
    </xf>
    <xf numFmtId="14" fontId="27" fillId="34" borderId="11" xfId="0" applyNumberFormat="1" applyFont="1" applyFill="1" applyBorder="1" applyAlignment="1">
      <alignment horizontal="center"/>
    </xf>
    <xf numFmtId="170" fontId="0" fillId="37" borderId="0" xfId="0" applyNumberFormat="1" applyFill="1"/>
    <xf numFmtId="171" fontId="0" fillId="37" borderId="0" xfId="0" applyNumberFormat="1" applyFill="1"/>
    <xf numFmtId="0" fontId="0" fillId="37" borderId="13" xfId="0" applyFill="1" applyBorder="1"/>
    <xf numFmtId="172" fontId="0" fillId="37" borderId="13" xfId="0" applyNumberFormat="1" applyFill="1" applyBorder="1"/>
    <xf numFmtId="3" fontId="20" fillId="0" borderId="10" xfId="0" applyNumberFormat="1" applyFont="1" applyBorder="1"/>
    <xf numFmtId="168" fontId="0" fillId="0" borderId="0" xfId="44" applyNumberFormat="1" applyFont="1"/>
    <xf numFmtId="168" fontId="31" fillId="0" borderId="10" xfId="44" applyNumberFormat="1" applyFont="1" applyBorder="1"/>
    <xf numFmtId="3" fontId="20" fillId="0" borderId="0" xfId="0" applyNumberFormat="1" applyFont="1"/>
    <xf numFmtId="168" fontId="31" fillId="0" borderId="0" xfId="44" applyNumberFormat="1" applyFont="1" applyBorder="1"/>
    <xf numFmtId="0" fontId="0" fillId="34" borderId="0" xfId="0" applyFill="1"/>
    <xf numFmtId="0" fontId="29" fillId="39" borderId="0" xfId="0" applyFont="1" applyFill="1"/>
    <xf numFmtId="0" fontId="20" fillId="0" borderId="13" xfId="0" applyFont="1" applyBorder="1"/>
    <xf numFmtId="10" fontId="27" fillId="0" borderId="0" xfId="0" applyNumberFormat="1" applyFont="1"/>
    <xf numFmtId="0" fontId="27" fillId="0" borderId="0" xfId="0" applyFont="1"/>
    <xf numFmtId="10" fontId="20" fillId="0" borderId="0" xfId="0" applyNumberFormat="1" applyFont="1"/>
    <xf numFmtId="173" fontId="20" fillId="0" borderId="0" xfId="0" applyNumberFormat="1" applyFont="1"/>
    <xf numFmtId="174" fontId="20" fillId="34" borderId="10" xfId="0" applyNumberFormat="1" applyFont="1" applyFill="1" applyBorder="1"/>
    <xf numFmtId="43" fontId="0" fillId="34" borderId="0" xfId="0" applyNumberFormat="1" applyFill="1"/>
    <xf numFmtId="175" fontId="0" fillId="0" borderId="0" xfId="0" applyNumberFormat="1"/>
    <xf numFmtId="168" fontId="20" fillId="34" borderId="12" xfId="0" applyNumberFormat="1" applyFont="1" applyFill="1" applyBorder="1"/>
    <xf numFmtId="176" fontId="27" fillId="0" borderId="0" xfId="0" applyNumberFormat="1" applyFont="1"/>
    <xf numFmtId="177" fontId="27" fillId="0" borderId="0" xfId="0" applyNumberFormat="1" applyFont="1"/>
    <xf numFmtId="176" fontId="20" fillId="34" borderId="10" xfId="0" applyNumberFormat="1" applyFont="1" applyFill="1" applyBorder="1"/>
    <xf numFmtId="0" fontId="20" fillId="34" borderId="13" xfId="0" applyFont="1" applyFill="1" applyBorder="1"/>
    <xf numFmtId="176" fontId="20" fillId="34" borderId="13" xfId="0" applyNumberFormat="1" applyFont="1" applyFill="1" applyBorder="1"/>
    <xf numFmtId="4" fontId="23" fillId="0" borderId="0" xfId="0" applyNumberFormat="1" applyFont="1"/>
    <xf numFmtId="43" fontId="20" fillId="34" borderId="12" xfId="0" applyNumberFormat="1" applyFont="1" applyFill="1" applyBorder="1"/>
    <xf numFmtId="0" fontId="0" fillId="0" borderId="0" xfId="0" quotePrefix="1"/>
    <xf numFmtId="168" fontId="20" fillId="0" borderId="10" xfId="0" applyNumberFormat="1" applyFont="1" applyBorder="1"/>
    <xf numFmtId="178" fontId="0" fillId="0" borderId="0" xfId="0" applyNumberFormat="1"/>
    <xf numFmtId="10" fontId="0" fillId="0" borderId="0" xfId="45" applyNumberFormat="1" applyFont="1"/>
    <xf numFmtId="178" fontId="23" fillId="0" borderId="0" xfId="0" applyNumberFormat="1" applyFont="1"/>
    <xf numFmtId="10" fontId="23" fillId="0" borderId="0" xfId="45" applyNumberFormat="1" applyFont="1"/>
    <xf numFmtId="3" fontId="23" fillId="0" borderId="0" xfId="0" applyNumberFormat="1" applyFont="1"/>
    <xf numFmtId="0" fontId="22" fillId="0" borderId="0" xfId="0" applyFont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</cellXfs>
  <cellStyles count="46">
    <cellStyle name="20% - Accent1 2" xfId="21" xr:uid="{7F1DC058-3DA4-4945-98D8-2DC0ECB9F210}"/>
    <cellStyle name="20% - Accent2 2" xfId="25" xr:uid="{45C01AB0-7BD0-441C-B632-D5CA9D59C11F}"/>
    <cellStyle name="20% - Accent3 2" xfId="29" xr:uid="{FF46D41A-4C13-4327-A3EF-A592E83334A6}"/>
    <cellStyle name="20% - Accent4 2" xfId="33" xr:uid="{60CB4C5D-1654-4FB2-A9AE-41707540D512}"/>
    <cellStyle name="20% - Accent5 2" xfId="37" xr:uid="{B9148941-556E-45FB-A6E5-D156F982822C}"/>
    <cellStyle name="20% - Accent6 2" xfId="41" xr:uid="{D701C1F9-CC1C-415D-AB5A-3AEBE452AD7B}"/>
    <cellStyle name="40% - Accent1 2" xfId="22" xr:uid="{B4DF7009-C890-4574-98F7-B1E1259498EE}"/>
    <cellStyle name="40% - Accent2 2" xfId="26" xr:uid="{8CC9300A-F395-427E-AFBE-095C11BA3F25}"/>
    <cellStyle name="40% - Accent3 2" xfId="30" xr:uid="{8C0FA83C-E176-4D21-817F-708103C3CA13}"/>
    <cellStyle name="40% - Accent4 2" xfId="34" xr:uid="{492D7345-1BEE-4718-8753-B8B116E4D3F7}"/>
    <cellStyle name="40% - Accent5 2" xfId="38" xr:uid="{66EAAEF1-90AD-498D-A1A2-E487053B40C7}"/>
    <cellStyle name="40% - Accent6 2" xfId="42" xr:uid="{CA2EF9F4-0DD9-459F-8A56-120B69564979}"/>
    <cellStyle name="60% - Accent1 2" xfId="23" xr:uid="{4258D6A2-318D-48A7-B6FA-4F677587C322}"/>
    <cellStyle name="60% - Accent2 2" xfId="27" xr:uid="{1CADD22E-3695-45AA-96EE-D839DA46B422}"/>
    <cellStyle name="60% - Accent3 2" xfId="31" xr:uid="{D019651C-468A-42EF-B786-9794BE5389FE}"/>
    <cellStyle name="60% - Accent4 2" xfId="35" xr:uid="{CE1F672C-6B0B-40CC-8A7D-99F443B6CAEE}"/>
    <cellStyle name="60% - Accent5 2" xfId="39" xr:uid="{D8CC3222-3D87-4C53-BA3B-93CA96E3CAC9}"/>
    <cellStyle name="60% - Accent6 2" xfId="43" xr:uid="{77A8A508-081C-4EA9-86E5-F20F771CAE21}"/>
    <cellStyle name="Accent1 2" xfId="20" xr:uid="{4313AFB0-34CF-4C7D-9F85-B48FB7A0B637}"/>
    <cellStyle name="Accent2 2" xfId="24" xr:uid="{3FF54B56-CB20-40F5-96D2-B868C3E33CB1}"/>
    <cellStyle name="Accent3 2" xfId="28" xr:uid="{D688ED5A-4DAA-41DC-AF4C-15144DC9D6E1}"/>
    <cellStyle name="Accent4 2" xfId="32" xr:uid="{4513D313-02F5-4D11-AC42-EC85E25FB1AD}"/>
    <cellStyle name="Accent5 2" xfId="36" xr:uid="{1C934920-121D-4087-8895-6601069E712A}"/>
    <cellStyle name="Accent6 2" xfId="40" xr:uid="{7F24DB20-F4FE-4BB5-B28C-7996C08EEC30}"/>
    <cellStyle name="Bad 2" xfId="9" xr:uid="{19614A3E-05A3-4598-AE6A-61CCBEB594BC}"/>
    <cellStyle name="Calculation 2" xfId="13" xr:uid="{547728B2-D44C-42D4-A3A5-58BA5B6933E0}"/>
    <cellStyle name="Check Cell 2" xfId="15" xr:uid="{F650B455-05A3-44E2-BC38-44C9ADB9B8C8}"/>
    <cellStyle name="Comma 2" xfId="7" xr:uid="{B3F42421-5733-4A50-9950-FBDA15F3806F}"/>
    <cellStyle name="Comma 3" xfId="44" xr:uid="{C45F630D-97FB-49D4-A834-63CE3C96630A}"/>
    <cellStyle name="Explanatory Text 2" xfId="18" xr:uid="{1C04E58A-8D6F-4F2D-8F5D-F159D8447989}"/>
    <cellStyle name="Good 2" xfId="8" xr:uid="{AD2E9F06-3D2C-4D0F-8F87-6A0E76663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11" xr:uid="{2EB06483-728B-4A71-A619-EBFCCDB8149E}"/>
    <cellStyle name="Linked Cell 2" xfId="14" xr:uid="{D8A5E33E-2F79-4D22-B567-A86B45D634AF}"/>
    <cellStyle name="Neutral 2" xfId="10" xr:uid="{7B68193F-BB8C-4382-A989-55ED6F80FF5F}"/>
    <cellStyle name="Normal" xfId="0" builtinId="0"/>
    <cellStyle name="Normal 2" xfId="6" xr:uid="{50C5D470-A540-4427-993E-364FCFB33DD7}"/>
    <cellStyle name="Note 2" xfId="17" xr:uid="{D8871CBF-77C4-4F23-8715-C24DBB590DC1}"/>
    <cellStyle name="Output 2" xfId="12" xr:uid="{5AD3C5CA-9C2E-4EE5-9603-20EA11D218A8}"/>
    <cellStyle name="Percent" xfId="45" builtinId="5"/>
    <cellStyle name="Title" xfId="1" builtinId="15" customBuiltin="1"/>
    <cellStyle name="Total 2" xfId="19" xr:uid="{B35A9D29-1401-4F12-8C56-1140A3273586}"/>
    <cellStyle name="Warning Text 2" xfId="16" xr:uid="{E51E2C50-3966-4D48-9241-AF9BC335CBD7}"/>
  </cellStyles>
  <dxfs count="0"/>
  <tableStyles count="0" defaultTableStyle="TableStyleMedium2" defaultPivotStyle="PivotStyleLight16"/>
  <colors>
    <mruColors>
      <color rgb="FF0000FF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hengJing\Downloads\5i29ZLIISFiHYLTpRDPw_6-1%20Apple%20DCF%20START%20(1).xlsx" TargetMode="External"/><Relationship Id="rId1" Type="http://schemas.openxmlformats.org/officeDocument/2006/relationships/externalLinkPath" Target="5i29ZLIISFiHYLTpRDPw_6-1%20Apple%20DCF%20STAR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FCF"/>
      <sheetName val="WACC"/>
      <sheetName val="Comparable Companies"/>
      <sheetName val="Shares Outstanding"/>
      <sheetName val="Income Statement"/>
      <sheetName val="Cash Flow Statement"/>
      <sheetName val="Balance Sheet"/>
      <sheetName val="Revolver"/>
      <sheetName val="Retained Earnings"/>
      <sheetName val="Fixed Assets"/>
      <sheetName val="Data Source --&gt;"/>
      <sheetName val="Income Statement - Data"/>
      <sheetName val="Balance Sheet -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F159-3CA6-4D47-A7FD-3D774C4FA464}">
  <dimension ref="A1:I84"/>
  <sheetViews>
    <sheetView zoomScaleNormal="100" workbookViewId="0">
      <selection activeCell="E79" sqref="E79"/>
    </sheetView>
  </sheetViews>
  <sheetFormatPr defaultRowHeight="15" x14ac:dyDescent="0.25"/>
  <cols>
    <col min="1" max="1" width="24.42578125" customWidth="1"/>
    <col min="2" max="2" width="53" bestFit="1" customWidth="1"/>
    <col min="3" max="3" width="17.85546875" customWidth="1"/>
    <col min="5" max="5" width="13.42578125" bestFit="1" customWidth="1"/>
    <col min="6" max="6" width="40" bestFit="1" customWidth="1"/>
    <col min="7" max="7" width="12.7109375" bestFit="1" customWidth="1"/>
    <col min="9" max="9" width="9.5703125" bestFit="1" customWidth="1"/>
  </cols>
  <sheetData>
    <row r="1" spans="2:9" ht="28.5" x14ac:dyDescent="0.45">
      <c r="B1" s="65" t="str">
        <f>"Discounted Cash Flow "&amp;'[1]Income Statement'!C3</f>
        <v xml:space="preserve">Discounted Cash Flow </v>
      </c>
      <c r="C1" s="66"/>
      <c r="D1" s="66"/>
      <c r="E1" s="66"/>
      <c r="F1" s="66"/>
      <c r="G1" s="66"/>
      <c r="H1" s="66"/>
      <c r="I1" s="66"/>
    </row>
    <row r="3" spans="2:9" x14ac:dyDescent="0.25">
      <c r="B3" s="67" t="s">
        <v>195</v>
      </c>
      <c r="C3" s="68">
        <v>1.48</v>
      </c>
    </row>
    <row r="4" spans="2:9" x14ac:dyDescent="0.25">
      <c r="B4" s="67" t="s">
        <v>180</v>
      </c>
      <c r="C4" s="69">
        <v>46022</v>
      </c>
    </row>
    <row r="6" spans="2:9" x14ac:dyDescent="0.25">
      <c r="B6" s="42" t="s">
        <v>181</v>
      </c>
      <c r="C6" s="42"/>
      <c r="D6" s="42"/>
      <c r="E6" s="42"/>
      <c r="F6" s="42"/>
      <c r="G6" s="42"/>
      <c r="H6" s="42"/>
      <c r="I6" s="42"/>
    </row>
    <row r="7" spans="2:9" x14ac:dyDescent="0.25">
      <c r="B7" s="33" t="s">
        <v>182</v>
      </c>
      <c r="C7" s="70">
        <f t="shared" ref="C7:I7" si="0">YEAR(C8)</f>
        <v>2024</v>
      </c>
      <c r="D7" s="70">
        <f t="shared" si="0"/>
        <v>2025</v>
      </c>
      <c r="E7" s="71">
        <f t="shared" si="0"/>
        <v>2026</v>
      </c>
      <c r="F7" s="71">
        <f t="shared" si="0"/>
        <v>2027</v>
      </c>
      <c r="G7" s="71">
        <f t="shared" si="0"/>
        <v>2028</v>
      </c>
      <c r="H7" s="71">
        <f t="shared" si="0"/>
        <v>2029</v>
      </c>
      <c r="I7" s="71">
        <f t="shared" si="0"/>
        <v>2030</v>
      </c>
    </row>
    <row r="8" spans="2:9" x14ac:dyDescent="0.25">
      <c r="B8" s="72" t="s">
        <v>183</v>
      </c>
      <c r="C8" s="73">
        <v>45657</v>
      </c>
      <c r="D8" s="73">
        <v>46022</v>
      </c>
      <c r="E8" s="73">
        <f>EDATE(D8,12)</f>
        <v>46387</v>
      </c>
      <c r="F8" s="73">
        <f t="shared" ref="F8:I8" si="1">EDATE(E8,12)</f>
        <v>46752</v>
      </c>
      <c r="G8" s="73">
        <f t="shared" si="1"/>
        <v>47118</v>
      </c>
      <c r="H8" s="73">
        <f t="shared" si="1"/>
        <v>47483</v>
      </c>
      <c r="I8" s="73">
        <f t="shared" si="1"/>
        <v>47848</v>
      </c>
    </row>
    <row r="9" spans="2:9" x14ac:dyDescent="0.25">
      <c r="B9" t="s">
        <v>184</v>
      </c>
      <c r="C9" s="1">
        <f>'Profit &amp; loss'!C12</f>
        <v>4476.5</v>
      </c>
      <c r="D9">
        <f>'Profit &amp; loss'!D12</f>
        <v>5058.6000000000004</v>
      </c>
      <c r="E9" s="31">
        <v>5240</v>
      </c>
      <c r="F9" s="31">
        <v>5350</v>
      </c>
      <c r="G9" s="1"/>
      <c r="H9" s="1"/>
      <c r="I9" s="1"/>
    </row>
    <row r="10" spans="2:9" x14ac:dyDescent="0.25">
      <c r="B10" t="s">
        <v>185</v>
      </c>
      <c r="D10" s="48"/>
      <c r="E10" s="48"/>
      <c r="F10" s="48"/>
      <c r="G10" s="48"/>
      <c r="H10" s="48"/>
      <c r="I10" s="48"/>
    </row>
    <row r="11" spans="2:9" x14ac:dyDescent="0.25">
      <c r="B11" t="s">
        <v>15</v>
      </c>
      <c r="C11" s="37">
        <f>INDEX('Income Statement - Data'!$C$3:$D$33,MATCH($B11,'Income Statement - Data'!$B$3:$B$33,0),MATCH('Profit &amp; loss'!C$11,'Income Statement - Data'!$C$2:$D$2,0))</f>
        <v>-2024.1</v>
      </c>
      <c r="D11" s="37">
        <f>INDEX('Income Statement - Data'!$C$3:$D$33,MATCH($B11,'Income Statement - Data'!$B$3:$B$33,0),MATCH('Profit &amp; loss'!D$11,'Income Statement - Data'!$C$2:$D$2,0))</f>
        <v>-2272</v>
      </c>
      <c r="E11" s="37">
        <v>-2353.4732930059699</v>
      </c>
      <c r="F11" s="37">
        <v>-2402.8782667141104</v>
      </c>
      <c r="G11" s="75"/>
      <c r="H11" s="75"/>
      <c r="I11" s="75"/>
    </row>
    <row r="12" spans="2:9" x14ac:dyDescent="0.25">
      <c r="B12" t="s">
        <v>16</v>
      </c>
      <c r="C12" s="37">
        <f>INDEX('Income Statement - Data'!$C$3:$D$33,MATCH($B12,'Income Statement - Data'!$B$3:$B$33,0),MATCH('Profit &amp; loss'!C$11,'Income Statement - Data'!$C$2:$D$2,0))</f>
        <v>-445.8</v>
      </c>
      <c r="D12" s="37">
        <f>INDEX('Income Statement - Data'!$C$3:$D$33,MATCH($B12,'Income Statement - Data'!$B$3:$B$33,0),MATCH('Profit &amp; loss'!D$11,'Income Statement - Data'!$C$2:$D$2,0))</f>
        <v>-644.29999999999995</v>
      </c>
      <c r="E12" s="37">
        <v>-667.40442019531088</v>
      </c>
      <c r="F12" s="37">
        <v>-681.41481832918191</v>
      </c>
      <c r="G12" s="75"/>
      <c r="H12" s="75"/>
      <c r="I12" s="75"/>
    </row>
    <row r="13" spans="2:9" x14ac:dyDescent="0.25">
      <c r="B13" t="s">
        <v>17</v>
      </c>
      <c r="C13" s="37">
        <f>INDEX('Income Statement - Data'!$C$3:$D$33,MATCH($B13,'Income Statement - Data'!$B$3:$B$33,0),MATCH('Profit &amp; loss'!C$11,'Income Statement - Data'!$C$2:$D$2,0))</f>
        <v>-397.2</v>
      </c>
      <c r="D13" s="37">
        <f>INDEX('Income Statement - Data'!$C$3:$D$33,MATCH($B13,'Income Statement - Data'!$B$3:$B$33,0),MATCH('Profit &amp; loss'!D$11,'Income Statement - Data'!$C$2:$D$2,0))</f>
        <v>-350.9</v>
      </c>
      <c r="E13" s="37">
        <v>-363.48317716364204</v>
      </c>
      <c r="F13" s="37">
        <v>-371.11354920333679</v>
      </c>
      <c r="G13" s="75"/>
      <c r="H13" s="75"/>
      <c r="I13" s="75"/>
    </row>
    <row r="14" spans="2:9" x14ac:dyDescent="0.25">
      <c r="B14" t="s">
        <v>19</v>
      </c>
      <c r="C14" s="37">
        <f>INDEX('Income Statement - Data'!$C$3:$D$33,MATCH($B14,'Income Statement - Data'!$B$3:$B$33,0),MATCH('Profit &amp; loss'!C$11,'Income Statement - Data'!$C$2:$D$2,0))</f>
        <v>-329.7</v>
      </c>
      <c r="D14" s="37">
        <f>INDEX('Income Statement - Data'!$C$3:$D$33,MATCH($B14,'Income Statement - Data'!$B$3:$B$33,0),MATCH('Profit &amp; loss'!D$11,'Income Statement - Data'!$C$2:$D$2,0))</f>
        <v>-349.3</v>
      </c>
      <c r="E14" s="37">
        <v>-408.87568412822515</v>
      </c>
      <c r="F14" s="37">
        <v>-417.45895230648944</v>
      </c>
      <c r="G14" s="75"/>
      <c r="H14" s="75"/>
      <c r="I14" s="75"/>
    </row>
    <row r="15" spans="2:9" x14ac:dyDescent="0.25">
      <c r="B15" t="s">
        <v>20</v>
      </c>
      <c r="C15" s="37">
        <f>INDEX('Income Statement - Data'!$C$3:$D$33,MATCH($B15,'Income Statement - Data'!$B$3:$B$33,0),MATCH('Profit &amp; loss'!C$11,'Income Statement - Data'!$C$2:$D$2,0))</f>
        <v>-104.4</v>
      </c>
      <c r="D15" s="37">
        <f>INDEX('Income Statement - Data'!$C$3:$D$33,MATCH($B15,'Income Statement - Data'!$B$3:$B$33,0),MATCH('Profit &amp; loss'!D$11,'Income Statement - Data'!$C$2:$D$2,0))</f>
        <v>-90</v>
      </c>
      <c r="E15" s="37">
        <v>-105.35016195688596</v>
      </c>
      <c r="F15" s="37">
        <v>-107.56171115827097</v>
      </c>
      <c r="G15" s="75"/>
      <c r="H15" s="75"/>
      <c r="I15" s="75"/>
    </row>
    <row r="16" spans="2:9" x14ac:dyDescent="0.25">
      <c r="B16" t="s">
        <v>21</v>
      </c>
      <c r="C16" s="37">
        <f>INDEX('Income Statement - Data'!$C$3:$D$33,MATCH($B16,'Income Statement - Data'!$B$3:$B$33,0),MATCH('Profit &amp; loss'!C$11,'Income Statement - Data'!$C$2:$D$2,0))</f>
        <v>-102.1</v>
      </c>
      <c r="D16" s="37">
        <f>INDEX('Income Statement - Data'!$C$3:$D$33,MATCH($B16,'Income Statement - Data'!$B$3:$B$33,0),MATCH('Profit &amp; loss'!D$11,'Income Statement - Data'!$C$2:$D$2,0))</f>
        <v>-122.6</v>
      </c>
      <c r="E16" s="37">
        <v>-143.51033173238019</v>
      </c>
      <c r="F16" s="37">
        <v>-146.52295320004467</v>
      </c>
      <c r="G16" s="75"/>
      <c r="H16" s="75"/>
      <c r="I16" s="75"/>
    </row>
    <row r="17" spans="2:9" x14ac:dyDescent="0.25">
      <c r="B17" t="s">
        <v>22</v>
      </c>
      <c r="C17" s="37">
        <f>INDEX('Income Statement - Data'!$C$3:$D$33,MATCH($B17,'Income Statement - Data'!$B$3:$B$33,0),MATCH('Profit &amp; loss'!C$11,'Income Statement - Data'!$C$2:$D$2,0))</f>
        <v>-86.8</v>
      </c>
      <c r="D17" s="37">
        <f>INDEX('Income Statement - Data'!$C$3:$D$33,MATCH($B17,'Income Statement - Data'!$B$3:$B$33,0),MATCH('Profit &amp; loss'!D$11,'Income Statement - Data'!$C$2:$D$2,0))</f>
        <v>-97.5</v>
      </c>
      <c r="E17" s="37">
        <v>-100.99632309334598</v>
      </c>
      <c r="F17" s="37">
        <v>-103.11647491400781</v>
      </c>
      <c r="G17" s="75"/>
      <c r="H17" s="75"/>
      <c r="I17" s="75"/>
    </row>
    <row r="18" spans="2:9" x14ac:dyDescent="0.25">
      <c r="B18" s="1" t="s">
        <v>23</v>
      </c>
      <c r="C18" s="37">
        <f>INDEX('Income Statement - Data'!$C$3:$D$33,MATCH($B18,'Income Statement - Data'!$B$3:$B$33,0),MATCH('Profit &amp; loss'!C$11,'Income Statement - Data'!$C$2:$D$2,0))</f>
        <v>-74.599999999999994</v>
      </c>
      <c r="D18" s="37">
        <f>INDEX('Income Statement - Data'!$C$3:$D$33,MATCH($B18,'Income Statement - Data'!$B$3:$B$33,0),MATCH('Profit &amp; loss'!D$11,'Income Statement - Data'!$C$2:$D$2,0))</f>
        <v>-85.7</v>
      </c>
      <c r="E18" s="37">
        <v>-88.773178349741031</v>
      </c>
      <c r="F18" s="37">
        <v>-90.636737437235595</v>
      </c>
      <c r="G18" s="75"/>
      <c r="H18" s="75"/>
      <c r="I18" s="75"/>
    </row>
    <row r="19" spans="2:9" x14ac:dyDescent="0.25">
      <c r="B19" s="1" t="s">
        <v>24</v>
      </c>
      <c r="C19" s="37">
        <f>INDEX('Income Statement - Data'!$C$3:$D$33,MATCH($B19,'Income Statement - Data'!$B$3:$B$33,0),MATCH('Profit &amp; loss'!C$11,'Income Statement - Data'!$C$2:$D$2,0))</f>
        <v>-73.5</v>
      </c>
      <c r="D19" s="37">
        <f>INDEX('Income Statement - Data'!$C$3:$D$33,MATCH($B19,'Income Statement - Data'!$B$3:$B$33,0),MATCH('Profit &amp; loss'!D$11,'Income Statement - Data'!$C$2:$D$2,0))</f>
        <v>-90.6</v>
      </c>
      <c r="E19" s="37">
        <v>-93.848890997509173</v>
      </c>
      <c r="F19" s="37">
        <v>-95.819001304708792</v>
      </c>
      <c r="G19" s="75"/>
      <c r="H19" s="75"/>
      <c r="I19" s="75"/>
    </row>
    <row r="20" spans="2:9" x14ac:dyDescent="0.25">
      <c r="B20" t="s">
        <v>25</v>
      </c>
      <c r="C20" s="37">
        <f>INDEX('Income Statement - Data'!$C$3:$D$33,MATCH($B20,'Income Statement - Data'!$B$3:$B$33,0),MATCH('Profit &amp; loss'!C$11,'Income Statement - Data'!$C$2:$D$2,0))</f>
        <v>-12</v>
      </c>
      <c r="D20" s="37">
        <f>INDEX('Income Statement - Data'!$C$3:$D$33,MATCH($B20,'Income Statement - Data'!$B$3:$B$33,0),MATCH('Profit &amp; loss'!D$11,'Income Statement - Data'!$C$2:$D$2,0))</f>
        <v>-70.400000000000006</v>
      </c>
      <c r="E20" s="37">
        <v>-72.924524572015969</v>
      </c>
      <c r="F20" s="37">
        <v>-74.45538291226822</v>
      </c>
      <c r="G20" s="75"/>
      <c r="H20" s="75"/>
      <c r="I20" s="75"/>
    </row>
    <row r="21" spans="2:9" x14ac:dyDescent="0.25">
      <c r="B21" s="1" t="s">
        <v>26</v>
      </c>
      <c r="C21" s="37">
        <f>INDEX('Income Statement - Data'!$C$3:$D$33,MATCH($B21,'Income Statement - Data'!$B$3:$B$33,0),MATCH('Profit &amp; loss'!C$11,'Income Statement - Data'!$C$2:$D$2,0))</f>
        <v>-34.5</v>
      </c>
      <c r="D21" s="37">
        <f>INDEX('Income Statement - Data'!$C$3:$D$33,MATCH($B21,'Income Statement - Data'!$B$3:$B$33,0),MATCH('Profit &amp; loss'!D$11,'Income Statement - Data'!$C$2:$D$2,0))</f>
        <v>-36</v>
      </c>
      <c r="E21" s="37">
        <v>-37.290950065235435</v>
      </c>
      <c r="F21" s="37">
        <v>-38.073775352864423</v>
      </c>
      <c r="G21" s="75"/>
      <c r="H21" s="75"/>
      <c r="I21" s="75"/>
    </row>
    <row r="22" spans="2:9" x14ac:dyDescent="0.25">
      <c r="B22" t="s">
        <v>27</v>
      </c>
      <c r="C22" s="37">
        <f>INDEX('Income Statement - Data'!$C$3:$D$33,MATCH($B22,'Income Statement - Data'!$B$3:$B$33,0),MATCH('Profit &amp; loss'!C$11,'Income Statement - Data'!$C$2:$D$2,0))</f>
        <v>-33.200000000000003</v>
      </c>
      <c r="D22" s="37">
        <f>INDEX('Income Statement - Data'!$C$3:$D$33,MATCH($B22,'Income Statement - Data'!$B$3:$B$33,0),MATCH('Profit &amp; loss'!D$11,'Income Statement - Data'!$C$2:$D$2,0))</f>
        <v>-30.8</v>
      </c>
      <c r="E22" s="37">
        <v>-31.904479500256986</v>
      </c>
      <c r="F22" s="37">
        <v>-32.574230024117341</v>
      </c>
      <c r="G22" s="75"/>
      <c r="H22" s="75"/>
      <c r="I22" s="75"/>
    </row>
    <row r="23" spans="2:9" x14ac:dyDescent="0.25">
      <c r="B23" s="1" t="s">
        <v>28</v>
      </c>
      <c r="C23" s="37" t="str">
        <f>INDEX('Income Statement - Data'!$C$3:$D$33,MATCH($B23,'Income Statement - Data'!$B$3:$B$33,0),MATCH('Profit &amp; loss'!C$11,'Income Statement - Data'!$C$2:$D$2,0))</f>
        <v>–</v>
      </c>
      <c r="D23" s="37">
        <f>INDEX('Income Statement - Data'!$C$3:$D$33,MATCH($B23,'Income Statement - Data'!$B$3:$B$33,0),MATCH('Profit &amp; loss'!D$11,'Income Statement - Data'!$C$2:$D$2,0))</f>
        <v>-2.1</v>
      </c>
      <c r="E23" s="37">
        <v>-2.1753054204720672</v>
      </c>
      <c r="F23" s="37">
        <v>-2.2209702289170914</v>
      </c>
      <c r="G23" s="75"/>
      <c r="H23" s="75"/>
      <c r="I23" s="75"/>
    </row>
    <row r="24" spans="2:9" x14ac:dyDescent="0.25">
      <c r="B24" t="s">
        <v>29</v>
      </c>
      <c r="C24" s="37">
        <f>INDEX('Income Statement - Data'!$C$3:$D$33,MATCH($B24,'Income Statement - Data'!$B$3:$B$33,0),MATCH('Profit &amp; loss'!C$11,'Income Statement - Data'!$C$2:$D$2,0))</f>
        <v>5.0999999999999996</v>
      </c>
      <c r="D24" s="37">
        <f>INDEX('Income Statement - Data'!$C$3:$D$33,MATCH($B24,'Income Statement - Data'!$B$3:$B$33,0),MATCH('Profit &amp; loss'!D$11,'Income Statement - Data'!$C$2:$D$2,0))</f>
        <v>25.9</v>
      </c>
      <c r="E24" s="37">
        <v>26.828766852488826</v>
      </c>
      <c r="F24" s="37">
        <v>27.391966156644127</v>
      </c>
      <c r="G24" s="75"/>
      <c r="H24" s="75"/>
      <c r="I24" s="75"/>
    </row>
    <row r="25" spans="2:9" x14ac:dyDescent="0.25">
      <c r="B25" t="s">
        <v>30</v>
      </c>
      <c r="C25" s="37">
        <f>INDEX('Income Statement - Data'!$C$3:$D$33,MATCH($B25,'Income Statement - Data'!$B$3:$B$33,0),MATCH('Profit &amp; loss'!C$11,'Income Statement - Data'!$C$2:$D$2,0))</f>
        <v>-72.400000000000006</v>
      </c>
      <c r="D25" s="37">
        <f>INDEX('Income Statement - Data'!$C$3:$D$33,MATCH($B25,'Income Statement - Data'!$B$3:$B$33,0),MATCH('Profit &amp; loss'!D$11,'Income Statement - Data'!$C$2:$D$2,0))</f>
        <v>-69.7</v>
      </c>
      <c r="E25" s="37">
        <v>-72.19942276519194</v>
      </c>
      <c r="F25" s="37">
        <v>-73.715059502629188</v>
      </c>
      <c r="G25" s="75"/>
      <c r="H25" s="75"/>
      <c r="I25" s="75"/>
    </row>
    <row r="26" spans="2:9" x14ac:dyDescent="0.25">
      <c r="B26" s="12" t="s">
        <v>61</v>
      </c>
      <c r="C26" s="74">
        <f>SUM(C9:C25)</f>
        <v>691.30000000000007</v>
      </c>
      <c r="D26" s="74">
        <f>SUM(D9:D25)</f>
        <v>772.60000000000014</v>
      </c>
      <c r="E26" s="74">
        <f>SUM(E9:E25)</f>
        <v>724.61862390630574</v>
      </c>
      <c r="F26" s="74">
        <f>SUM(F9:F25)</f>
        <v>739.83008356846176</v>
      </c>
      <c r="G26" s="44"/>
      <c r="H26" s="44"/>
      <c r="I26" s="44"/>
    </row>
    <row r="27" spans="2:9" x14ac:dyDescent="0.25">
      <c r="B27" t="s">
        <v>186</v>
      </c>
      <c r="C27" s="7">
        <f>'Profit &amp; loss'!C32</f>
        <v>-368.4</v>
      </c>
      <c r="D27" s="7">
        <f>'Profit &amp; loss'!D32</f>
        <v>-399.6</v>
      </c>
      <c r="E27" s="7">
        <f>'Profit &amp; loss'!E32</f>
        <v>-433.44234527687303</v>
      </c>
      <c r="F27" s="7">
        <f>'Profit &amp; loss'!F32</f>
        <v>-470.15081751530528</v>
      </c>
      <c r="G27" s="75"/>
      <c r="H27" s="75"/>
      <c r="I27" s="75"/>
    </row>
    <row r="28" spans="2:9" x14ac:dyDescent="0.25">
      <c r="B28" s="12" t="s">
        <v>62</v>
      </c>
      <c r="C28" s="74">
        <f>SUM(C26:C27)</f>
        <v>322.90000000000009</v>
      </c>
      <c r="D28" s="74">
        <f t="shared" ref="D28:F28" si="2">SUM(D26:D27)</f>
        <v>373.00000000000011</v>
      </c>
      <c r="E28" s="74">
        <f t="shared" si="2"/>
        <v>291.17627862943272</v>
      </c>
      <c r="F28" s="74">
        <f t="shared" si="2"/>
        <v>269.67926605315648</v>
      </c>
      <c r="G28" s="76"/>
      <c r="H28" s="76"/>
      <c r="I28" s="76"/>
    </row>
    <row r="29" spans="2:9" x14ac:dyDescent="0.25">
      <c r="B29" s="8" t="s">
        <v>36</v>
      </c>
      <c r="C29" s="77">
        <f>'Profit &amp; loss'!C40</f>
        <v>-61.8</v>
      </c>
      <c r="D29" s="77">
        <f>'Profit &amp; loss'!D40</f>
        <v>-69.5</v>
      </c>
      <c r="E29" s="77">
        <f ca="1">'Profit &amp; loss'!E40</f>
        <v>-48.315086502429089</v>
      </c>
      <c r="F29" s="77">
        <f ca="1">'Profit &amp; loss'!F40</f>
        <v>-44.126613982360688</v>
      </c>
      <c r="G29" s="78"/>
      <c r="H29" s="78"/>
      <c r="I29" s="78"/>
    </row>
    <row r="30" spans="2:9" x14ac:dyDescent="0.25">
      <c r="B30" s="12" t="s">
        <v>187</v>
      </c>
      <c r="C30" s="29">
        <f>C28*(1-WACC!$D$6)</f>
        <v>258.60751176028316</v>
      </c>
      <c r="D30" s="29">
        <f>D28*(1-WACC!$D$6)</f>
        <v>298.73212104857731</v>
      </c>
      <c r="E30" s="29">
        <f>E28*(1-WACC!$D$6)</f>
        <v>233.20028770509904</v>
      </c>
      <c r="F30" s="29">
        <f>F28*(1-WACC!$D$6)</f>
        <v>215.98353659754156</v>
      </c>
      <c r="G30" s="78"/>
      <c r="H30" s="78"/>
      <c r="I30" s="78"/>
    </row>
    <row r="31" spans="2:9" x14ac:dyDescent="0.25">
      <c r="B31" t="s">
        <v>188</v>
      </c>
      <c r="C31" s="7"/>
      <c r="D31" s="7">
        <f t="shared" ref="D31:F31" si="3">-D27</f>
        <v>399.6</v>
      </c>
      <c r="E31" s="7">
        <f t="shared" si="3"/>
        <v>433.44234527687303</v>
      </c>
      <c r="F31" s="7">
        <f t="shared" si="3"/>
        <v>470.15081751530528</v>
      </c>
      <c r="G31" s="78"/>
      <c r="H31" s="78"/>
      <c r="I31" s="78"/>
    </row>
    <row r="32" spans="2:9" x14ac:dyDescent="0.25">
      <c r="B32" t="s">
        <v>189</v>
      </c>
      <c r="C32" s="6"/>
      <c r="D32" s="6">
        <f>-'Fixed assets schedule'!D4</f>
        <v>-583.3000000000003</v>
      </c>
      <c r="E32" s="6">
        <f ca="1">-'Fixed assets schedule'!E4</f>
        <v>-604.21697702921779</v>
      </c>
      <c r="F32" s="6">
        <f ca="1">-'Fixed assets schedule'!F4</f>
        <v>-616.90092120349527</v>
      </c>
      <c r="G32" s="78"/>
      <c r="H32" s="78"/>
      <c r="I32" s="78"/>
    </row>
    <row r="33" spans="2:9" x14ac:dyDescent="0.25">
      <c r="B33" t="s">
        <v>190</v>
      </c>
      <c r="D33" s="75">
        <f>C34-D34</f>
        <v>-64.7999999999995</v>
      </c>
      <c r="E33" s="75">
        <f t="shared" ref="E33:F33" ca="1" si="4">D34-E34</f>
        <v>-30.930474834934898</v>
      </c>
      <c r="F33" s="75">
        <f t="shared" ca="1" si="4"/>
        <v>-22.652548135847837</v>
      </c>
      <c r="G33" s="78"/>
      <c r="H33" s="78"/>
      <c r="I33" s="78"/>
    </row>
    <row r="34" spans="2:9" x14ac:dyDescent="0.25">
      <c r="B34" s="5" t="s">
        <v>191</v>
      </c>
      <c r="C34" s="5">
        <f>C35-C36</f>
        <v>-132.70000000000016</v>
      </c>
      <c r="D34" s="5">
        <f t="shared" ref="D34:F34" si="5">D35-D36</f>
        <v>-67.900000000000659</v>
      </c>
      <c r="E34" s="5">
        <f t="shared" ca="1" si="5"/>
        <v>-36.969525165065761</v>
      </c>
      <c r="F34" s="5">
        <f t="shared" ca="1" si="5"/>
        <v>-14.316977029217924</v>
      </c>
      <c r="G34" s="78"/>
      <c r="H34" s="78"/>
      <c r="I34" s="78"/>
    </row>
    <row r="35" spans="2:9" x14ac:dyDescent="0.25">
      <c r="B35" s="5" t="s">
        <v>192</v>
      </c>
      <c r="C35" s="5">
        <f>'balance sheet'!G11-'balance sheet'!G6</f>
        <v>1006.6999999999999</v>
      </c>
      <c r="D35" s="5">
        <f>'balance sheet'!H11-'balance sheet'!H6</f>
        <v>1016.3999999999997</v>
      </c>
      <c r="E35" s="5">
        <f ca="1">'balance sheet'!I11-'balance sheet'!I6</f>
        <v>1052.8478235084804</v>
      </c>
      <c r="F35" s="5">
        <f ca="1">'balance sheet'!J11-'balance sheet'!J6</f>
        <v>1074.9495907958724</v>
      </c>
      <c r="G35" s="44"/>
      <c r="H35" s="44"/>
      <c r="I35" s="44"/>
    </row>
    <row r="36" spans="2:9" x14ac:dyDescent="0.25">
      <c r="B36" s="5" t="s">
        <v>193</v>
      </c>
      <c r="C36" s="5">
        <f>'balance sheet'!G35-'balance sheet'!G27-'balance sheet'!G28-'balance sheet'!G29</f>
        <v>1139.4000000000001</v>
      </c>
      <c r="D36" s="5">
        <f>'balance sheet'!H35-'balance sheet'!H27-'balance sheet'!H28-'balance sheet'!H29</f>
        <v>1084.3000000000004</v>
      </c>
      <c r="E36" s="5">
        <f ca="1">'balance sheet'!I35-'balance sheet'!I27-'balance sheet'!I28-'balance sheet'!I29</f>
        <v>1089.8173486735461</v>
      </c>
      <c r="F36" s="5">
        <f ca="1">'balance sheet'!J35-'balance sheet'!J27-'balance sheet'!J28-'balance sheet'!J29</f>
        <v>1089.2665678250903</v>
      </c>
      <c r="G36" s="63"/>
      <c r="H36" s="63"/>
      <c r="I36" s="63"/>
    </row>
    <row r="37" spans="2:9" x14ac:dyDescent="0.25">
      <c r="B37" s="30" t="s">
        <v>194</v>
      </c>
      <c r="C37" s="30"/>
      <c r="D37" s="45">
        <f>D30+D31+D32+D33</f>
        <v>50.232121048577596</v>
      </c>
      <c r="E37" s="45">
        <f ca="1">E30+E31+E32+E33</f>
        <v>31.495181117819357</v>
      </c>
      <c r="F37" s="45">
        <f ca="1">F30+F31+F32+F33</f>
        <v>46.580884773503726</v>
      </c>
      <c r="G37" s="75"/>
      <c r="H37" s="75"/>
      <c r="I37" s="75"/>
    </row>
    <row r="38" spans="2:9" x14ac:dyDescent="0.25">
      <c r="G38" s="75"/>
      <c r="H38" s="75"/>
      <c r="I38" s="75"/>
    </row>
    <row r="39" spans="2:9" x14ac:dyDescent="0.25">
      <c r="G39" s="75"/>
      <c r="H39" s="75"/>
      <c r="I39" s="75"/>
    </row>
    <row r="40" spans="2:9" x14ac:dyDescent="0.25">
      <c r="G40" s="75"/>
      <c r="H40" s="75"/>
      <c r="I40" s="75"/>
    </row>
    <row r="41" spans="2:9" x14ac:dyDescent="0.25">
      <c r="B41" s="42" t="s">
        <v>181</v>
      </c>
      <c r="C41" s="42"/>
      <c r="D41" s="42"/>
      <c r="E41" s="42"/>
      <c r="F41" s="42"/>
      <c r="G41" s="75"/>
      <c r="H41" s="75"/>
      <c r="I41" s="75"/>
    </row>
    <row r="42" spans="2:9" x14ac:dyDescent="0.25">
      <c r="B42" s="33" t="s">
        <v>182</v>
      </c>
      <c r="C42" s="70">
        <f t="shared" ref="C42:F42" si="6">YEAR(C43)</f>
        <v>2024</v>
      </c>
      <c r="D42" s="70">
        <f t="shared" si="6"/>
        <v>2025</v>
      </c>
      <c r="E42" s="71">
        <f t="shared" si="6"/>
        <v>2026</v>
      </c>
      <c r="F42" s="71">
        <f t="shared" si="6"/>
        <v>2027</v>
      </c>
    </row>
    <row r="43" spans="2:9" x14ac:dyDescent="0.25">
      <c r="B43" s="72" t="s">
        <v>183</v>
      </c>
      <c r="C43" s="73">
        <v>45657</v>
      </c>
      <c r="D43" s="73">
        <v>46022</v>
      </c>
      <c r="E43" s="73">
        <f>EDATE(D43,12)</f>
        <v>46387</v>
      </c>
      <c r="F43" s="73">
        <f t="shared" ref="F43" si="7">EDATE(E43,12)</f>
        <v>46752</v>
      </c>
    </row>
    <row r="44" spans="2:9" x14ac:dyDescent="0.25">
      <c r="B44" t="s">
        <v>196</v>
      </c>
      <c r="E44" s="43">
        <f ca="1">E37</f>
        <v>31.495181117819357</v>
      </c>
      <c r="F44" s="43">
        <f ca="1">F37</f>
        <v>46.580884773503726</v>
      </c>
    </row>
    <row r="45" spans="2:9" x14ac:dyDescent="0.25">
      <c r="B45" t="s">
        <v>197</v>
      </c>
      <c r="E45">
        <v>1</v>
      </c>
      <c r="F45">
        <v>2</v>
      </c>
    </row>
    <row r="46" spans="2:9" x14ac:dyDescent="0.25">
      <c r="B46" s="79" t="s">
        <v>198</v>
      </c>
      <c r="C46" s="79"/>
      <c r="D46" s="79"/>
      <c r="E46" s="87">
        <f ca="1">E37/(1+WACC!D18)^1</f>
        <v>30.520569135134163</v>
      </c>
      <c r="F46" s="87">
        <f ca="1">F44/(1+WACC!D18)^'Unlevered cash flow'!F45</f>
        <v>43.742617681829834</v>
      </c>
    </row>
    <row r="48" spans="2:9" x14ac:dyDescent="0.25">
      <c r="B48" s="8" t="s">
        <v>216</v>
      </c>
      <c r="C48" s="60">
        <f ca="1">E46+F46</f>
        <v>74.263186816963994</v>
      </c>
    </row>
    <row r="52" spans="2:9" x14ac:dyDescent="0.25">
      <c r="B52" s="42" t="s">
        <v>217</v>
      </c>
      <c r="C52" s="80"/>
      <c r="F52" s="42" t="s">
        <v>218</v>
      </c>
      <c r="G52" s="80"/>
      <c r="H52" s="80"/>
      <c r="I52" s="80"/>
    </row>
    <row r="53" spans="2:9" x14ac:dyDescent="0.25">
      <c r="B53" t="s">
        <v>219</v>
      </c>
      <c r="C53" s="43">
        <f ca="1">SUM(E46:F46)</f>
        <v>74.263186816963994</v>
      </c>
      <c r="F53" t="s">
        <v>219</v>
      </c>
      <c r="I53" s="43">
        <f ca="1">C48</f>
        <v>74.263186816963994</v>
      </c>
    </row>
    <row r="54" spans="2:9" x14ac:dyDescent="0.25">
      <c r="B54" t="s">
        <v>220</v>
      </c>
      <c r="C54" s="1">
        <f>F26</f>
        <v>739.83008356846176</v>
      </c>
      <c r="F54" t="s">
        <v>221</v>
      </c>
      <c r="I54" s="31">
        <v>0.02</v>
      </c>
    </row>
    <row r="55" spans="2:9" x14ac:dyDescent="0.25">
      <c r="B55" t="s">
        <v>222</v>
      </c>
      <c r="C55" s="88">
        <f>'COMPARABLE COMPANIES'!B5</f>
        <v>3.9575603297455033</v>
      </c>
      <c r="F55" t="s">
        <v>223</v>
      </c>
      <c r="I55">
        <f>WACC!D18</f>
        <v>3.1932955718157165E-2</v>
      </c>
    </row>
    <row r="56" spans="2:9" x14ac:dyDescent="0.25">
      <c r="B56" t="s">
        <v>223</v>
      </c>
      <c r="C56" s="2">
        <f>WACC!D18</f>
        <v>3.1932955718157165E-2</v>
      </c>
      <c r="F56" t="s">
        <v>224</v>
      </c>
      <c r="I56" s="60">
        <f ca="1">F44*(1+I54)</f>
        <v>47.5125024689738</v>
      </c>
    </row>
    <row r="57" spans="2:9" x14ac:dyDescent="0.25">
      <c r="B57" t="s">
        <v>225</v>
      </c>
      <c r="C57" s="1">
        <f>C54*C55</f>
        <v>2927.9221894828447</v>
      </c>
      <c r="F57" t="s">
        <v>225</v>
      </c>
      <c r="I57" s="60">
        <f ca="1">I56/(I55-I54)</f>
        <v>3981.6206136321161</v>
      </c>
    </row>
    <row r="58" spans="2:9" x14ac:dyDescent="0.25">
      <c r="B58" t="s">
        <v>226</v>
      </c>
      <c r="C58" s="1">
        <f>C57/(1+C56)^$F$45</f>
        <v>2749.5179956209458</v>
      </c>
      <c r="F58" t="s">
        <v>226</v>
      </c>
      <c r="I58" s="1">
        <f ca="1">I57/(1+I55)^$F$45</f>
        <v>3739.0124533502262</v>
      </c>
    </row>
    <row r="59" spans="2:9" x14ac:dyDescent="0.25">
      <c r="B59" s="30" t="s">
        <v>227</v>
      </c>
      <c r="C59" s="89">
        <f ca="1">C58+C53</f>
        <v>2823.78118243791</v>
      </c>
      <c r="F59" s="30" t="s">
        <v>227</v>
      </c>
      <c r="G59" s="30"/>
      <c r="H59" s="30"/>
      <c r="I59" s="96">
        <f ca="1">I58+I53</f>
        <v>3813.2756401671904</v>
      </c>
    </row>
    <row r="61" spans="2:9" x14ac:dyDescent="0.25">
      <c r="B61" s="42" t="s">
        <v>236</v>
      </c>
      <c r="C61" s="80"/>
      <c r="F61" s="42" t="s">
        <v>245</v>
      </c>
      <c r="G61" s="80"/>
    </row>
    <row r="62" spans="2:9" x14ac:dyDescent="0.25">
      <c r="B62" t="s">
        <v>227</v>
      </c>
      <c r="C62" s="43">
        <f ca="1">I59</f>
        <v>3813.2756401671904</v>
      </c>
      <c r="F62" t="s">
        <v>246</v>
      </c>
      <c r="G62" s="103">
        <v>2166763244</v>
      </c>
    </row>
    <row r="63" spans="2:9" x14ac:dyDescent="0.25">
      <c r="B63" s="97" t="s">
        <v>237</v>
      </c>
      <c r="C63" s="1">
        <f>'balance sheet'!H6</f>
        <v>868.4</v>
      </c>
      <c r="F63" s="97" t="s">
        <v>249</v>
      </c>
      <c r="G63" s="103">
        <v>115200</v>
      </c>
    </row>
    <row r="64" spans="2:9" x14ac:dyDescent="0.25">
      <c r="B64" s="97" t="s">
        <v>238</v>
      </c>
      <c r="C64" s="1">
        <f>SUM('balance sheet'!H27:H29,'balance sheet'!H38:H40)</f>
        <v>1821.5</v>
      </c>
      <c r="F64" s="97" t="s">
        <v>247</v>
      </c>
      <c r="G64" s="1">
        <f>SUM('balance sheet'!L27:L29,'balance sheet'!L38:L40)</f>
        <v>0</v>
      </c>
    </row>
    <row r="65" spans="1:7" x14ac:dyDescent="0.25">
      <c r="B65" s="97" t="s">
        <v>239</v>
      </c>
      <c r="C65">
        <f>'balance sheet'!H56</f>
        <v>385.2</v>
      </c>
      <c r="F65" s="97" t="s">
        <v>248</v>
      </c>
      <c r="G65">
        <f>'balance sheet'!L56</f>
        <v>0</v>
      </c>
    </row>
    <row r="66" spans="1:7" x14ac:dyDescent="0.25">
      <c r="B66" s="97" t="s">
        <v>240</v>
      </c>
      <c r="C66">
        <v>0</v>
      </c>
      <c r="F66" s="30" t="s">
        <v>240</v>
      </c>
      <c r="G66" s="51">
        <f>SUM(G62:G65)</f>
        <v>2166878444</v>
      </c>
    </row>
    <row r="67" spans="1:7" x14ac:dyDescent="0.25">
      <c r="B67" s="97" t="s">
        <v>241</v>
      </c>
      <c r="C67">
        <v>0</v>
      </c>
    </row>
    <row r="68" spans="1:7" x14ac:dyDescent="0.25">
      <c r="B68" s="12" t="s">
        <v>242</v>
      </c>
      <c r="C68" s="98">
        <f ca="1">C62+C63-C64-C65</f>
        <v>2474.9756401671902</v>
      </c>
    </row>
    <row r="69" spans="1:7" x14ac:dyDescent="0.25">
      <c r="B69" t="s">
        <v>243</v>
      </c>
      <c r="C69" s="103">
        <f>G66</f>
        <v>2166878444</v>
      </c>
    </row>
    <row r="70" spans="1:7" x14ac:dyDescent="0.25">
      <c r="B70" s="30" t="s">
        <v>244</v>
      </c>
      <c r="C70" s="96">
        <f ca="1">C68*1000000/C69</f>
        <v>1.1421848082989146</v>
      </c>
    </row>
    <row r="75" spans="1:7" x14ac:dyDescent="0.25">
      <c r="B75" s="42" t="s">
        <v>250</v>
      </c>
      <c r="C75" s="80"/>
      <c r="D75" s="42"/>
      <c r="E75" s="80"/>
      <c r="F75" s="42"/>
      <c r="G75" s="80"/>
    </row>
    <row r="78" spans="1:7" x14ac:dyDescent="0.25">
      <c r="A78" s="107"/>
      <c r="D78" s="8" t="s">
        <v>251</v>
      </c>
    </row>
    <row r="79" spans="1:7" x14ac:dyDescent="0.25">
      <c r="A79" s="108" t="s">
        <v>223</v>
      </c>
      <c r="B79" s="60">
        <f ca="1">C70</f>
        <v>1.1421848082989146</v>
      </c>
      <c r="C79" s="99">
        <f>D79-1</f>
        <v>1.96</v>
      </c>
      <c r="D79" s="99">
        <f>E79-1</f>
        <v>2.96</v>
      </c>
      <c r="E79" s="101">
        <v>3.96</v>
      </c>
      <c r="F79" s="99">
        <v>3.96</v>
      </c>
      <c r="G79" s="99">
        <v>3.96</v>
      </c>
    </row>
    <row r="80" spans="1:7" x14ac:dyDescent="0.25">
      <c r="A80" s="107"/>
      <c r="B80" s="100">
        <f>B81+0.01</f>
        <v>5.1900000000000002E-2</v>
      </c>
      <c r="C80">
        <f t="dataTable" ref="C80:G84" dt2D="1" dtr="1" r1="C55" r2="C56" ca="1"/>
        <v>1.1421848082989146</v>
      </c>
      <c r="D80">
        <v>1.1421848082989146</v>
      </c>
      <c r="E80">
        <v>1.1421848082989146</v>
      </c>
      <c r="F80">
        <v>1.1421848082989146</v>
      </c>
      <c r="G80">
        <v>1.1421848082989146</v>
      </c>
    </row>
    <row r="81" spans="1:7" x14ac:dyDescent="0.25">
      <c r="A81" s="107"/>
      <c r="B81" s="100">
        <f>B82+0.01</f>
        <v>4.19E-2</v>
      </c>
      <c r="C81">
        <v>1.1421848082989146</v>
      </c>
      <c r="D81">
        <v>1.1421848082989146</v>
      </c>
      <c r="E81">
        <v>1.1421848082989146</v>
      </c>
      <c r="F81">
        <v>1.1421848082989146</v>
      </c>
      <c r="G81">
        <v>1.1421848082989146</v>
      </c>
    </row>
    <row r="82" spans="1:7" x14ac:dyDescent="0.25">
      <c r="B82" s="102">
        <v>3.1899999999999998E-2</v>
      </c>
      <c r="C82">
        <v>1.1421848082989146</v>
      </c>
      <c r="D82">
        <v>1.1421848082989146</v>
      </c>
      <c r="E82">
        <v>1.1421848082989146</v>
      </c>
      <c r="F82">
        <v>1.1421848082989146</v>
      </c>
      <c r="G82">
        <v>1.1421848082989146</v>
      </c>
    </row>
    <row r="83" spans="1:7" x14ac:dyDescent="0.25">
      <c r="B83" s="100">
        <f>0.0319-0.01</f>
        <v>2.1899999999999996E-2</v>
      </c>
      <c r="C83">
        <v>1.1421848082989146</v>
      </c>
      <c r="D83">
        <v>1.1421848082989146</v>
      </c>
      <c r="E83">
        <v>1.1421848082989146</v>
      </c>
      <c r="F83">
        <v>1.1421848082989146</v>
      </c>
      <c r="G83">
        <v>1.1421848082989146</v>
      </c>
    </row>
    <row r="84" spans="1:7" x14ac:dyDescent="0.25">
      <c r="B84" s="100">
        <f>B83-0.01</f>
        <v>1.1899999999999996E-2</v>
      </c>
      <c r="C84">
        <v>1.1421848082989146</v>
      </c>
      <c r="D84">
        <v>1.1421848082989146</v>
      </c>
      <c r="E84">
        <v>1.1421848082989146</v>
      </c>
      <c r="F84">
        <v>1.1421848082989146</v>
      </c>
      <c r="G84">
        <v>1.1421848082989146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FDDF-2085-4347-BA9A-4D30504DA230}">
  <dimension ref="B2:I18"/>
  <sheetViews>
    <sheetView topLeftCell="A3" workbookViewId="0">
      <selection activeCell="G5" sqref="G5"/>
    </sheetView>
  </sheetViews>
  <sheetFormatPr defaultRowHeight="15" x14ac:dyDescent="0.25"/>
  <cols>
    <col min="2" max="2" width="39.140625" bestFit="1" customWidth="1"/>
    <col min="4" max="4" width="30.42578125" customWidth="1"/>
    <col min="5" max="5" width="20.42578125" bestFit="1" customWidth="1"/>
  </cols>
  <sheetData>
    <row r="2" spans="2:9" x14ac:dyDescent="0.25">
      <c r="B2" s="42" t="s">
        <v>199</v>
      </c>
      <c r="C2" s="80"/>
      <c r="D2" s="80"/>
      <c r="E2" s="80"/>
      <c r="F2" s="80"/>
      <c r="G2" s="80"/>
      <c r="H2" s="80"/>
      <c r="I2" s="80"/>
    </row>
    <row r="4" spans="2:9" x14ac:dyDescent="0.25">
      <c r="B4" s="81" t="s">
        <v>200</v>
      </c>
      <c r="C4" s="81"/>
      <c r="D4" s="81"/>
      <c r="F4" s="81" t="s">
        <v>201</v>
      </c>
      <c r="G4" s="81"/>
      <c r="H4" s="81"/>
    </row>
    <row r="5" spans="2:9" x14ac:dyDescent="0.25">
      <c r="B5" t="s">
        <v>202</v>
      </c>
      <c r="C5" s="82"/>
      <c r="D5" s="2">
        <f>-'Profit &amp; loss'!D37/('debt schedule'!C5+'debt schedule'!C11)</f>
        <v>2.8987098545155094E-2</v>
      </c>
      <c r="F5" t="s">
        <v>203</v>
      </c>
      <c r="G5" s="82">
        <v>2.8000000000000001E-2</v>
      </c>
    </row>
    <row r="6" spans="2:9" x14ac:dyDescent="0.25">
      <c r="B6" t="s">
        <v>204</v>
      </c>
      <c r="C6" s="82"/>
      <c r="D6" s="2">
        <f>'Profit &amp; loss'!E105</f>
        <v>0.19910959504402892</v>
      </c>
      <c r="F6" t="s">
        <v>205</v>
      </c>
      <c r="G6" s="83">
        <v>0.21</v>
      </c>
    </row>
    <row r="7" spans="2:9" x14ac:dyDescent="0.25">
      <c r="B7" s="8" t="s">
        <v>206</v>
      </c>
      <c r="C7" s="84"/>
      <c r="D7" s="2">
        <f>D5*(1-D6)</f>
        <v>2.3215489092327905E-2</v>
      </c>
      <c r="F7" t="s">
        <v>207</v>
      </c>
      <c r="G7" s="82"/>
      <c r="H7" s="2">
        <v>4.2299999999999997E-2</v>
      </c>
    </row>
    <row r="8" spans="2:9" x14ac:dyDescent="0.25">
      <c r="F8" s="8" t="s">
        <v>208</v>
      </c>
      <c r="G8" s="84"/>
      <c r="H8" s="2">
        <f>G5+G6*H7</f>
        <v>3.6882999999999999E-2</v>
      </c>
    </row>
    <row r="10" spans="2:9" x14ac:dyDescent="0.25">
      <c r="B10" t="s">
        <v>209</v>
      </c>
    </row>
    <row r="12" spans="2:9" x14ac:dyDescent="0.25">
      <c r="B12" t="s">
        <v>210</v>
      </c>
      <c r="D12" s="1">
        <f>2167447913*'Unlevered cash flow'!C3</f>
        <v>3207822911.2399998</v>
      </c>
    </row>
    <row r="13" spans="2:9" x14ac:dyDescent="0.25">
      <c r="B13" t="s">
        <v>211</v>
      </c>
      <c r="D13" s="1">
        <f>('debt schedule'!C5+'debt schedule'!C11)*1000000</f>
        <v>1821499999.9999998</v>
      </c>
    </row>
    <row r="14" spans="2:9" x14ac:dyDescent="0.25">
      <c r="B14" s="8" t="s">
        <v>213</v>
      </c>
      <c r="C14" s="8"/>
      <c r="D14" s="85">
        <f>SUM(D12:D13)</f>
        <v>5029322911.2399998</v>
      </c>
    </row>
    <row r="15" spans="2:9" x14ac:dyDescent="0.25">
      <c r="B15" s="8"/>
      <c r="C15" s="8"/>
      <c r="D15" s="85"/>
    </row>
    <row r="16" spans="2:9" x14ac:dyDescent="0.25">
      <c r="B16" s="8" t="s">
        <v>214</v>
      </c>
      <c r="C16" s="8"/>
      <c r="D16" s="2">
        <f>D12/D14</f>
        <v>0.63782401087646567</v>
      </c>
    </row>
    <row r="17" spans="2:4" x14ac:dyDescent="0.25">
      <c r="B17" s="8" t="s">
        <v>215</v>
      </c>
      <c r="C17" s="8"/>
      <c r="D17" s="2">
        <f>D13/D14</f>
        <v>0.36217598912353427</v>
      </c>
    </row>
    <row r="18" spans="2:4" x14ac:dyDescent="0.25">
      <c r="B18" s="61" t="s">
        <v>212</v>
      </c>
      <c r="C18" s="61"/>
      <c r="D18" s="86">
        <f>D16*H8+D17*D7</f>
        <v>3.1932955718157165E-2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6E5F-3B1D-49C4-96E6-3EFD14424055}">
  <dimension ref="A1:F13"/>
  <sheetViews>
    <sheetView workbookViewId="0">
      <selection activeCell="F8" sqref="F8"/>
    </sheetView>
  </sheetViews>
  <sheetFormatPr defaultRowHeight="15" x14ac:dyDescent="0.25"/>
  <cols>
    <col min="1" max="1" width="18.85546875" bestFit="1" customWidth="1"/>
    <col min="2" max="2" width="12.5703125" bestFit="1" customWidth="1"/>
    <col min="6" max="6" width="17.5703125" bestFit="1" customWidth="1"/>
  </cols>
  <sheetData>
    <row r="1" spans="1:6" x14ac:dyDescent="0.25">
      <c r="A1" s="42" t="s">
        <v>228</v>
      </c>
      <c r="B1" s="42" t="s">
        <v>229</v>
      </c>
    </row>
    <row r="2" spans="1:6" x14ac:dyDescent="0.25">
      <c r="A2" t="s">
        <v>232</v>
      </c>
      <c r="B2" s="90">
        <f>F4/F3</f>
        <v>2.8482165008562825</v>
      </c>
      <c r="E2" s="81" t="s">
        <v>232</v>
      </c>
      <c r="F2" s="66"/>
    </row>
    <row r="3" spans="1:6" x14ac:dyDescent="0.25">
      <c r="A3" t="s">
        <v>233</v>
      </c>
      <c r="B3" s="90">
        <f>F8/F7</f>
        <v>2.3947860505477307</v>
      </c>
      <c r="E3" t="s">
        <v>61</v>
      </c>
      <c r="F3" s="95">
        <f>464.8*1000000</f>
        <v>464800000</v>
      </c>
    </row>
    <row r="4" spans="1:6" x14ac:dyDescent="0.25">
      <c r="A4" t="s">
        <v>234</v>
      </c>
      <c r="B4" s="91">
        <f>F13/F12</f>
        <v>6.6296784378324967</v>
      </c>
      <c r="E4" t="s">
        <v>235</v>
      </c>
      <c r="F4" s="95">
        <f>(614086377*17.4/100)+(1249000000+346300000)-425600000+47300000</f>
        <v>1323851029.598</v>
      </c>
    </row>
    <row r="5" spans="1:6" x14ac:dyDescent="0.25">
      <c r="A5" s="61" t="s">
        <v>230</v>
      </c>
      <c r="B5" s="92">
        <f>AVERAGE(B2:B4)</f>
        <v>3.9575603297455033</v>
      </c>
    </row>
    <row r="6" spans="1:6" x14ac:dyDescent="0.25">
      <c r="A6" s="93" t="s">
        <v>231</v>
      </c>
      <c r="B6" s="94">
        <f>MEDIAN(B2:B4)</f>
        <v>2.8482165008562825</v>
      </c>
      <c r="E6" s="81" t="s">
        <v>233</v>
      </c>
      <c r="F6" s="66"/>
    </row>
    <row r="7" spans="1:6" x14ac:dyDescent="0.25">
      <c r="E7" t="s">
        <v>61</v>
      </c>
      <c r="F7" s="7">
        <f>702.9*1000000</f>
        <v>702900000</v>
      </c>
    </row>
    <row r="8" spans="1:6" x14ac:dyDescent="0.25">
      <c r="E8" t="s">
        <v>235</v>
      </c>
      <c r="F8" s="7">
        <f>(570695015*1.662)+(447100000+710200000)-432000000+9500000</f>
        <v>1683295114.9299998</v>
      </c>
    </row>
    <row r="11" spans="1:6" x14ac:dyDescent="0.25">
      <c r="E11" s="81" t="s">
        <v>234</v>
      </c>
      <c r="F11" s="81"/>
    </row>
    <row r="12" spans="1:6" x14ac:dyDescent="0.25">
      <c r="E12" t="s">
        <v>61</v>
      </c>
      <c r="F12" s="7">
        <f>315792*1000</f>
        <v>315792000</v>
      </c>
    </row>
    <row r="13" spans="1:6" x14ac:dyDescent="0.25">
      <c r="E13" t="s">
        <v>235</v>
      </c>
      <c r="F13" s="7">
        <f>(271656692*4.47)+(9838000+42313000+801903000+68873000+132694000)-176330000+3000</f>
        <v>2093599413.2399998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32863-EDFC-4B71-9169-E58EB636D059}">
  <dimension ref="A1:I113"/>
  <sheetViews>
    <sheetView topLeftCell="A18" zoomScaleNormal="100" workbookViewId="0">
      <selection activeCell="C7" sqref="C7"/>
    </sheetView>
  </sheetViews>
  <sheetFormatPr defaultRowHeight="15" x14ac:dyDescent="0.25"/>
  <cols>
    <col min="2" max="2" width="53" bestFit="1" customWidth="1"/>
    <col min="3" max="3" width="14.42578125" customWidth="1"/>
  </cols>
  <sheetData>
    <row r="1" spans="1:9" ht="26.25" x14ac:dyDescent="0.4">
      <c r="A1" s="104" t="s">
        <v>54</v>
      </c>
      <c r="B1" s="104"/>
      <c r="C1" s="104"/>
      <c r="D1" s="104"/>
      <c r="E1" s="104"/>
      <c r="F1" s="104"/>
    </row>
    <row r="5" spans="1:9" x14ac:dyDescent="0.25">
      <c r="B5" t="s">
        <v>52</v>
      </c>
      <c r="C5" s="21" t="s">
        <v>57</v>
      </c>
    </row>
    <row r="6" spans="1:9" x14ac:dyDescent="0.25">
      <c r="B6" t="s">
        <v>53</v>
      </c>
      <c r="C6" s="21" t="s">
        <v>58</v>
      </c>
    </row>
    <row r="7" spans="1:9" x14ac:dyDescent="0.25">
      <c r="B7" t="s">
        <v>55</v>
      </c>
      <c r="C7" s="21"/>
    </row>
    <row r="8" spans="1:9" x14ac:dyDescent="0.25">
      <c r="B8" t="s">
        <v>56</v>
      </c>
      <c r="C8" s="22">
        <v>46022</v>
      </c>
    </row>
    <row r="9" spans="1:9" x14ac:dyDescent="0.25">
      <c r="C9" s="21" t="s">
        <v>95</v>
      </c>
    </row>
    <row r="10" spans="1:9" x14ac:dyDescent="0.25">
      <c r="B10" s="24" t="s">
        <v>59</v>
      </c>
      <c r="C10" s="23"/>
      <c r="D10" s="23"/>
      <c r="E10" s="23"/>
      <c r="F10" s="23"/>
    </row>
    <row r="11" spans="1:9" x14ac:dyDescent="0.25">
      <c r="B11" s="24" t="s">
        <v>60</v>
      </c>
      <c r="C11" s="24">
        <v>2024</v>
      </c>
      <c r="D11" s="24">
        <v>2025</v>
      </c>
      <c r="E11" s="24">
        <f>D11+1</f>
        <v>2026</v>
      </c>
      <c r="F11" s="24">
        <f>E11+1</f>
        <v>2027</v>
      </c>
      <c r="G11" s="35"/>
      <c r="H11" s="35"/>
      <c r="I11" s="35"/>
    </row>
    <row r="12" spans="1:9" x14ac:dyDescent="0.25">
      <c r="B12" t="s">
        <v>11</v>
      </c>
      <c r="C12">
        <f>INDEX('Income Statement - Data'!$C$3:$D$33,MATCH($B12,'Income Statement - Data'!$B$3:$B$33,0),MATCH('Profit &amp; loss'!C$11,'Income Statement - Data'!$C$2:$D$2,0))</f>
        <v>4476.5</v>
      </c>
      <c r="D12">
        <f>INDEX('Income Statement - Data'!$C$3:$D$33,MATCH($B12,'Income Statement - Data'!$B$3:$B$33,0),MATCH('Profit &amp; loss'!D$11,'Income Statement - Data'!$C$2:$D$2,0))</f>
        <v>5058.6000000000004</v>
      </c>
      <c r="E12" s="31">
        <v>5240</v>
      </c>
      <c r="F12" s="31">
        <v>5350</v>
      </c>
    </row>
    <row r="13" spans="1:9" x14ac:dyDescent="0.25">
      <c r="B13" t="s">
        <v>12</v>
      </c>
    </row>
    <row r="14" spans="1:9" x14ac:dyDescent="0.25">
      <c r="B14" t="s">
        <v>15</v>
      </c>
      <c r="C14" s="37">
        <f>INDEX('Income Statement - Data'!$C$3:$D$33,MATCH($B14,'Income Statement - Data'!$B$3:$B$33,0),MATCH('Profit &amp; loss'!C$11,'Income Statement - Data'!$C$2:$D$2,0))</f>
        <v>-2024.1</v>
      </c>
      <c r="D14" s="37">
        <f>INDEX('Income Statement - Data'!$C$3:$D$33,MATCH($B14,'Income Statement - Data'!$B$3:$B$33,0),MATCH('Profit &amp; loss'!D$11,'Income Statement - Data'!$C$2:$D$2,0))</f>
        <v>-2272</v>
      </c>
      <c r="E14" s="37">
        <f>-$E53*E$12</f>
        <v>-2353.4732930059699</v>
      </c>
      <c r="F14" s="37">
        <f>-$E53*F$12</f>
        <v>-2402.8782667141104</v>
      </c>
    </row>
    <row r="15" spans="1:9" x14ac:dyDescent="0.25">
      <c r="B15" t="s">
        <v>16</v>
      </c>
      <c r="C15" s="37">
        <f>INDEX('Income Statement - Data'!$C$3:$D$33,MATCH($B15,'Income Statement - Data'!$B$3:$B$33,0),MATCH('Profit &amp; loss'!C$11,'Income Statement - Data'!$C$2:$D$2,0))</f>
        <v>-445.8</v>
      </c>
      <c r="D15" s="37">
        <f>INDEX('Income Statement - Data'!$C$3:$D$33,MATCH($B15,'Income Statement - Data'!$B$3:$B$33,0),MATCH('Profit &amp; loss'!D$11,'Income Statement - Data'!$C$2:$D$2,0))</f>
        <v>-644.29999999999995</v>
      </c>
      <c r="E15" s="37">
        <f>-$E58*E$12</f>
        <v>-667.40442019531088</v>
      </c>
      <c r="F15" s="37">
        <f>-$E58*F$12</f>
        <v>-681.41481832918191</v>
      </c>
    </row>
    <row r="16" spans="1:9" x14ac:dyDescent="0.25">
      <c r="B16" t="s">
        <v>17</v>
      </c>
      <c r="C16" s="37">
        <f>INDEX('Income Statement - Data'!$C$3:$D$33,MATCH($B16,'Income Statement - Data'!$B$3:$B$33,0),MATCH('Profit &amp; loss'!C$11,'Income Statement - Data'!$C$2:$D$2,0))</f>
        <v>-397.2</v>
      </c>
      <c r="D16" s="37">
        <f>INDEX('Income Statement - Data'!$C$3:$D$33,MATCH($B16,'Income Statement - Data'!$B$3:$B$33,0),MATCH('Profit &amp; loss'!D$11,'Income Statement - Data'!$C$2:$D$2,0))</f>
        <v>-350.9</v>
      </c>
      <c r="E16" s="37">
        <f>-$E63*E$12</f>
        <v>-363.48317716364204</v>
      </c>
      <c r="F16" s="37">
        <f>-$E63*F$12</f>
        <v>-371.11354920333679</v>
      </c>
    </row>
    <row r="17" spans="2:9" x14ac:dyDescent="0.25">
      <c r="B17" t="s">
        <v>19</v>
      </c>
      <c r="C17" s="37">
        <f>INDEX('Income Statement - Data'!$C$3:$D$33,MATCH($B17,'Income Statement - Data'!$B$3:$B$33,0),MATCH('Profit &amp; loss'!C$11,'Income Statement - Data'!$C$2:$D$2,0))</f>
        <v>-329.7</v>
      </c>
      <c r="D17" s="37">
        <f>INDEX('Income Statement - Data'!$C$3:$D$33,MATCH($B17,'Income Statement - Data'!$B$3:$B$33,0),MATCH('Profit &amp; loss'!D$11,'Income Statement - Data'!$C$2:$D$2,0))</f>
        <v>-349.3</v>
      </c>
      <c r="E17" s="37">
        <f>-$E68*E$12</f>
        <v>-408.87568412822515</v>
      </c>
      <c r="F17" s="37">
        <f>-$E68*F$12</f>
        <v>-417.45895230648944</v>
      </c>
    </row>
    <row r="18" spans="2:9" x14ac:dyDescent="0.25">
      <c r="B18" t="s">
        <v>20</v>
      </c>
      <c r="C18" s="37">
        <f>INDEX('Income Statement - Data'!$C$3:$D$33,MATCH($B18,'Income Statement - Data'!$B$3:$B$33,0),MATCH('Profit &amp; loss'!C$11,'Income Statement - Data'!$C$2:$D$2,0))</f>
        <v>-104.4</v>
      </c>
      <c r="D18" s="37">
        <f>INDEX('Income Statement - Data'!$C$3:$D$33,MATCH($B18,'Income Statement - Data'!$B$3:$B$33,0),MATCH('Profit &amp; loss'!D$11,'Income Statement - Data'!$C$2:$D$2,0))</f>
        <v>-90</v>
      </c>
      <c r="E18" s="37">
        <f>-$E73*E$12</f>
        <v>-105.35016195688596</v>
      </c>
      <c r="F18" s="37">
        <f>-$E73*F$12</f>
        <v>-107.56171115827097</v>
      </c>
    </row>
    <row r="19" spans="2:9" x14ac:dyDescent="0.25">
      <c r="B19" t="s">
        <v>21</v>
      </c>
      <c r="C19" s="37">
        <f>INDEX('Income Statement - Data'!$C$3:$D$33,MATCH($B19,'Income Statement - Data'!$B$3:$B$33,0),MATCH('Profit &amp; loss'!C$11,'Income Statement - Data'!$C$2:$D$2,0))</f>
        <v>-102.1</v>
      </c>
      <c r="D19" s="37">
        <f>INDEX('Income Statement - Data'!$C$3:$D$33,MATCH($B19,'Income Statement - Data'!$B$3:$B$33,0),MATCH('Profit &amp; loss'!D$11,'Income Statement - Data'!$C$2:$D$2,0))</f>
        <v>-122.6</v>
      </c>
      <c r="E19" s="37">
        <f>-$E78*E$12</f>
        <v>-143.51033173238019</v>
      </c>
      <c r="F19" s="37">
        <f>-$E78*F$12</f>
        <v>-146.52295320004467</v>
      </c>
    </row>
    <row r="20" spans="2:9" x14ac:dyDescent="0.25">
      <c r="B20" t="s">
        <v>22</v>
      </c>
      <c r="C20" s="37">
        <f>INDEX('Income Statement - Data'!$C$3:$D$33,MATCH($B20,'Income Statement - Data'!$B$3:$B$33,0),MATCH('Profit &amp; loss'!C$11,'Income Statement - Data'!$C$2:$D$2,0))</f>
        <v>-86.8</v>
      </c>
      <c r="D20" s="37">
        <f>INDEX('Income Statement - Data'!$C$3:$D$33,MATCH($B20,'Income Statement - Data'!$B$3:$B$33,0),MATCH('Profit &amp; loss'!D$11,'Income Statement - Data'!$C$2:$D$2,0))</f>
        <v>-97.5</v>
      </c>
      <c r="E20" s="37">
        <f t="shared" ref="E20:F28" si="0">-$E$83*E$12*($D20/SUM($D$20:$D$28))</f>
        <v>-100.99632309334598</v>
      </c>
      <c r="F20" s="37">
        <f t="shared" si="0"/>
        <v>-103.11647491400781</v>
      </c>
    </row>
    <row r="21" spans="2:9" x14ac:dyDescent="0.25">
      <c r="B21" s="1" t="s">
        <v>23</v>
      </c>
      <c r="C21" s="37">
        <f>INDEX('Income Statement - Data'!$C$3:$D$33,MATCH($B21,'Income Statement - Data'!$B$3:$B$33,0),MATCH('Profit &amp; loss'!C$11,'Income Statement - Data'!$C$2:$D$2,0))</f>
        <v>-74.599999999999994</v>
      </c>
      <c r="D21" s="37">
        <f>INDEX('Income Statement - Data'!$C$3:$D$33,MATCH($B21,'Income Statement - Data'!$B$3:$B$33,0),MATCH('Profit &amp; loss'!D$11,'Income Statement - Data'!$C$2:$D$2,0))</f>
        <v>-85.7</v>
      </c>
      <c r="E21" s="37">
        <f t="shared" si="0"/>
        <v>-88.773178349741031</v>
      </c>
      <c r="F21" s="37">
        <f t="shared" si="0"/>
        <v>-90.636737437235595</v>
      </c>
      <c r="H21" s="1"/>
    </row>
    <row r="22" spans="2:9" x14ac:dyDescent="0.25">
      <c r="B22" s="1" t="s">
        <v>24</v>
      </c>
      <c r="C22" s="37">
        <f>INDEX('Income Statement - Data'!$C$3:$D$33,MATCH($B22,'Income Statement - Data'!$B$3:$B$33,0),MATCH('Profit &amp; loss'!C$11,'Income Statement - Data'!$C$2:$D$2,0))</f>
        <v>-73.5</v>
      </c>
      <c r="D22" s="37">
        <f>INDEX('Income Statement - Data'!$C$3:$D$33,MATCH($B22,'Income Statement - Data'!$B$3:$B$33,0),MATCH('Profit &amp; loss'!D$11,'Income Statement - Data'!$C$2:$D$2,0))</f>
        <v>-90.6</v>
      </c>
      <c r="E22" s="37">
        <f t="shared" si="0"/>
        <v>-93.848890997509173</v>
      </c>
      <c r="F22" s="37">
        <f t="shared" si="0"/>
        <v>-95.819001304708792</v>
      </c>
      <c r="H22" s="1"/>
    </row>
    <row r="23" spans="2:9" x14ac:dyDescent="0.25">
      <c r="B23" t="s">
        <v>25</v>
      </c>
      <c r="C23" s="37">
        <f>INDEX('Income Statement - Data'!$C$3:$D$33,MATCH($B23,'Income Statement - Data'!$B$3:$B$33,0),MATCH('Profit &amp; loss'!C$11,'Income Statement - Data'!$C$2:$D$2,0))</f>
        <v>-12</v>
      </c>
      <c r="D23" s="37">
        <f>INDEX('Income Statement - Data'!$C$3:$D$33,MATCH($B23,'Income Statement - Data'!$B$3:$B$33,0),MATCH('Profit &amp; loss'!D$11,'Income Statement - Data'!$C$2:$D$2,0))</f>
        <v>-70.400000000000006</v>
      </c>
      <c r="E23" s="37">
        <f t="shared" si="0"/>
        <v>-72.924524572015969</v>
      </c>
      <c r="F23" s="37">
        <f t="shared" si="0"/>
        <v>-74.45538291226822</v>
      </c>
    </row>
    <row r="24" spans="2:9" x14ac:dyDescent="0.25">
      <c r="B24" s="1" t="s">
        <v>26</v>
      </c>
      <c r="C24" s="37">
        <f>INDEX('Income Statement - Data'!$C$3:$D$33,MATCH($B24,'Income Statement - Data'!$B$3:$B$33,0),MATCH('Profit &amp; loss'!C$11,'Income Statement - Data'!$C$2:$D$2,0))</f>
        <v>-34.5</v>
      </c>
      <c r="D24" s="37">
        <f>INDEX('Income Statement - Data'!$C$3:$D$33,MATCH($B24,'Income Statement - Data'!$B$3:$B$33,0),MATCH('Profit &amp; loss'!D$11,'Income Statement - Data'!$C$2:$D$2,0))</f>
        <v>-36</v>
      </c>
      <c r="E24" s="37">
        <f t="shared" si="0"/>
        <v>-37.290950065235435</v>
      </c>
      <c r="F24" s="37">
        <f t="shared" si="0"/>
        <v>-38.073775352864423</v>
      </c>
      <c r="H24" s="1"/>
    </row>
    <row r="25" spans="2:9" x14ac:dyDescent="0.25">
      <c r="B25" t="s">
        <v>27</v>
      </c>
      <c r="C25" s="37">
        <f>INDEX('Income Statement - Data'!$C$3:$D$33,MATCH($B25,'Income Statement - Data'!$B$3:$B$33,0),MATCH('Profit &amp; loss'!C$11,'Income Statement - Data'!$C$2:$D$2,0))</f>
        <v>-33.200000000000003</v>
      </c>
      <c r="D25" s="37">
        <f>INDEX('Income Statement - Data'!$C$3:$D$33,MATCH($B25,'Income Statement - Data'!$B$3:$B$33,0),MATCH('Profit &amp; loss'!D$11,'Income Statement - Data'!$C$2:$D$2,0))</f>
        <v>-30.8</v>
      </c>
      <c r="E25" s="37">
        <f t="shared" si="0"/>
        <v>-31.904479500256986</v>
      </c>
      <c r="F25" s="37">
        <f t="shared" si="0"/>
        <v>-32.574230024117341</v>
      </c>
    </row>
    <row r="26" spans="2:9" x14ac:dyDescent="0.25">
      <c r="B26" s="1" t="s">
        <v>28</v>
      </c>
      <c r="C26" s="37" t="str">
        <f>INDEX('Income Statement - Data'!$C$3:$D$33,MATCH($B26,'Income Statement - Data'!$B$3:$B$33,0),MATCH('Profit &amp; loss'!C$11,'Income Statement - Data'!$C$2:$D$2,0))</f>
        <v>–</v>
      </c>
      <c r="D26" s="37">
        <f>INDEX('Income Statement - Data'!$C$3:$D$33,MATCH($B26,'Income Statement - Data'!$B$3:$B$33,0),MATCH('Profit &amp; loss'!D$11,'Income Statement - Data'!$C$2:$D$2,0))</f>
        <v>-2.1</v>
      </c>
      <c r="E26" s="37">
        <f t="shared" si="0"/>
        <v>-2.1753054204720672</v>
      </c>
      <c r="F26" s="37">
        <f t="shared" si="0"/>
        <v>-2.2209702289170914</v>
      </c>
      <c r="H26" s="1"/>
    </row>
    <row r="27" spans="2:9" x14ac:dyDescent="0.25">
      <c r="B27" t="s">
        <v>29</v>
      </c>
      <c r="C27" s="37">
        <f>INDEX('Income Statement - Data'!$C$3:$D$33,MATCH($B27,'Income Statement - Data'!$B$3:$B$33,0),MATCH('Profit &amp; loss'!C$11,'Income Statement - Data'!$C$2:$D$2,0))</f>
        <v>5.0999999999999996</v>
      </c>
      <c r="D27" s="37">
        <f>INDEX('Income Statement - Data'!$C$3:$D$33,MATCH($B27,'Income Statement - Data'!$B$3:$B$33,0),MATCH('Profit &amp; loss'!D$11,'Income Statement - Data'!$C$2:$D$2,0))</f>
        <v>25.9</v>
      </c>
      <c r="E27" s="37">
        <f t="shared" si="0"/>
        <v>26.828766852488826</v>
      </c>
      <c r="F27" s="37">
        <f t="shared" si="0"/>
        <v>27.391966156644127</v>
      </c>
    </row>
    <row r="28" spans="2:9" x14ac:dyDescent="0.25">
      <c r="B28" t="s">
        <v>30</v>
      </c>
      <c r="C28" s="37">
        <f>INDEX('Income Statement - Data'!$C$3:$D$33,MATCH($B28,'Income Statement - Data'!$B$3:$B$33,0),MATCH('Profit &amp; loss'!C$11,'Income Statement - Data'!$C$2:$D$2,0))</f>
        <v>-72.400000000000006</v>
      </c>
      <c r="D28" s="37">
        <f>INDEX('Income Statement - Data'!$C$3:$D$33,MATCH($B28,'Income Statement - Data'!$B$3:$B$33,0),MATCH('Profit &amp; loss'!D$11,'Income Statement - Data'!$C$2:$D$2,0))</f>
        <v>-69.7</v>
      </c>
      <c r="E28" s="37">
        <f t="shared" si="0"/>
        <v>-72.19942276519194</v>
      </c>
      <c r="F28" s="37">
        <f t="shared" si="0"/>
        <v>-73.715059502629188</v>
      </c>
    </row>
    <row r="29" spans="2:9" x14ac:dyDescent="0.25">
      <c r="B29" t="s">
        <v>31</v>
      </c>
      <c r="C29" s="37">
        <f>SUM(C14:C28)</f>
        <v>-3785.2</v>
      </c>
      <c r="D29" s="37">
        <f>SUM(D14:D28)</f>
        <v>-4286.0000000000009</v>
      </c>
      <c r="E29" s="37">
        <f>SUM(E14:E28)</f>
        <v>-4515.3813760936946</v>
      </c>
      <c r="F29" s="37">
        <f>SUM(F14:F28)</f>
        <v>-4610.1699164315387</v>
      </c>
    </row>
    <row r="31" spans="2:9" x14ac:dyDescent="0.25">
      <c r="B31" s="12" t="s">
        <v>61</v>
      </c>
      <c r="C31" s="27">
        <f>SUM(C12:C28)</f>
        <v>691.30000000000007</v>
      </c>
      <c r="D31" s="27">
        <f>SUM(D12:D28)</f>
        <v>772.60000000000014</v>
      </c>
      <c r="E31" s="27">
        <f>SUM(E12:E28)</f>
        <v>724.61862390630574</v>
      </c>
      <c r="F31" s="27">
        <f>SUM(F12:F28)</f>
        <v>739.83008356846176</v>
      </c>
      <c r="G31" s="27"/>
      <c r="H31" s="12"/>
      <c r="I31" s="27"/>
    </row>
    <row r="32" spans="2:9" x14ac:dyDescent="0.25">
      <c r="B32" t="s">
        <v>18</v>
      </c>
      <c r="C32" s="7">
        <f>INDEX('Income Statement - Data'!$C$3:$D$33,MATCH($B32,'Income Statement - Data'!$B$3:$B$33,0),MATCH('Profit &amp; loss'!C$11,'Income Statement - Data'!$C$2:$D$2,0))</f>
        <v>-368.4</v>
      </c>
      <c r="D32" s="7">
        <f>INDEX('Income Statement - Data'!$C$3:$D$33,MATCH($B32,'Income Statement - Data'!$B$3:$B$33,0),MATCH('Profit &amp; loss'!D$11,'Income Statement - Data'!$C$2:$D$2,0))</f>
        <v>-399.6</v>
      </c>
      <c r="E32" s="7">
        <f>(((D$32-C$32)/C$32)+1)*D$32</f>
        <v>-433.44234527687303</v>
      </c>
      <c r="F32" s="7">
        <f>(((E$32-D$32)/D$32)+1)*E$32</f>
        <v>-470.15081751530528</v>
      </c>
      <c r="G32" s="38"/>
      <c r="I32" s="38"/>
    </row>
    <row r="33" spans="2:9" x14ac:dyDescent="0.25">
      <c r="B33" s="1"/>
      <c r="D33" s="1"/>
      <c r="E33" s="1"/>
      <c r="G33" s="1"/>
      <c r="H33" s="1"/>
    </row>
    <row r="34" spans="2:9" x14ac:dyDescent="0.25">
      <c r="B34" s="8" t="s">
        <v>62</v>
      </c>
      <c r="C34" s="7">
        <f>SUM(C31:C32)</f>
        <v>322.90000000000009</v>
      </c>
      <c r="D34" s="7">
        <f>SUM(D31:D32)</f>
        <v>373.00000000000011</v>
      </c>
      <c r="E34" s="7">
        <f>SUM(E31:E32)</f>
        <v>291.17627862943272</v>
      </c>
      <c r="F34" s="7">
        <f>SUM(F31:F32)</f>
        <v>269.67926605315648</v>
      </c>
      <c r="G34" s="7"/>
      <c r="H34" s="8"/>
      <c r="I34" s="7"/>
    </row>
    <row r="35" spans="2:9" x14ac:dyDescent="0.25">
      <c r="B35" t="s">
        <v>33</v>
      </c>
    </row>
    <row r="36" spans="2:9" x14ac:dyDescent="0.25">
      <c r="B36" s="1" t="s">
        <v>32</v>
      </c>
      <c r="C36">
        <f>INDEX('Income Statement - Data'!$C$3:$D$33,MATCH($B36,'Income Statement - Data'!$B$3:$B$33,0),MATCH('Profit &amp; loss'!C$11,'Income Statement - Data'!$C$2:$D$2,0))</f>
        <v>31.7</v>
      </c>
      <c r="D36">
        <f>INDEX('Income Statement - Data'!$C$3:$D$33,MATCH($B36,'Income Statement - Data'!$B$3:$B$33,0),MATCH('Profit &amp; loss'!D$11,'Income Statement - Data'!$C$2:$D$2,0))</f>
        <v>20.399999999999999</v>
      </c>
      <c r="E36" s="37">
        <f ca="1">E91*E$12</f>
        <v>21.131538370300078</v>
      </c>
      <c r="F36" s="37">
        <f ca="1">F91*F$12</f>
        <v>21.575139366623173</v>
      </c>
      <c r="H36" s="1"/>
    </row>
    <row r="37" spans="2:9" x14ac:dyDescent="0.25">
      <c r="B37" t="s">
        <v>34</v>
      </c>
      <c r="C37">
        <f>INDEX('Income Statement - Data'!$C$3:$D$33,MATCH($B37,'Income Statement - Data'!$B$3:$B$33,0),MATCH('Profit &amp; loss'!C$11,'Income Statement - Data'!$C$2:$D$2,0))</f>
        <v>-38.9</v>
      </c>
      <c r="D37">
        <f>INDEX('Income Statement - Data'!$C$3:$D$33,MATCH($B37,'Income Statement - Data'!$B$3:$B$33,0),MATCH('Profit &amp; loss'!D$11,'Income Statement - Data'!$C$2:$D$2,0))</f>
        <v>-52.8</v>
      </c>
      <c r="E37" s="37">
        <f>-('debt schedule'!D7+'debt schedule'!D13)</f>
        <v>-70.480762890955205</v>
      </c>
      <c r="F37" s="37">
        <f>-('debt schedule'!E7+'debt schedule'!E13)</f>
        <v>-70.480762890955205</v>
      </c>
    </row>
    <row r="38" spans="2:9" x14ac:dyDescent="0.25">
      <c r="B38" t="s">
        <v>35</v>
      </c>
      <c r="C38">
        <f>INDEX('Income Statement - Data'!$C$3:$D$33,MATCH($B38,'Income Statement - Data'!$B$3:$B$33,0),MATCH('Profit &amp; loss'!C$11,'Income Statement - Data'!$C$2:$D$2,0))</f>
        <v>1.8</v>
      </c>
      <c r="D38">
        <f>INDEX('Income Statement - Data'!$C$3:$D$33,MATCH($B38,'Income Statement - Data'!$B$3:$B$33,0),MATCH('Profit &amp; loss'!D$11,'Income Statement - Data'!$C$2:$D$2,0))</f>
        <v>0.8</v>
      </c>
      <c r="E38" s="37">
        <f ca="1">E101*E$12</f>
        <v>0.82868777922745418</v>
      </c>
      <c r="F38" s="37">
        <f ca="1">F101*F$12</f>
        <v>0.84608389673032058</v>
      </c>
    </row>
    <row r="39" spans="2:9" x14ac:dyDescent="0.25">
      <c r="B39" s="12" t="s">
        <v>63</v>
      </c>
      <c r="C39" s="27">
        <f>SUM(C34,C36:C38)</f>
        <v>317.50000000000011</v>
      </c>
      <c r="D39" s="27">
        <f>SUM(D34,D36:D38)</f>
        <v>341.40000000000009</v>
      </c>
      <c r="E39" s="27">
        <f ca="1">SUM(E34,E36:E38)</f>
        <v>242.65574188800505</v>
      </c>
      <c r="F39" s="27">
        <f ca="1">SUM(F34,F36:F38)</f>
        <v>221.61972642555477</v>
      </c>
      <c r="G39" s="27"/>
      <c r="H39" s="12"/>
      <c r="I39" s="27"/>
    </row>
    <row r="40" spans="2:9" x14ac:dyDescent="0.25">
      <c r="B40" t="s">
        <v>36</v>
      </c>
      <c r="C40">
        <f>INDEX('Income Statement - Data'!$C$3:$D$33,MATCH($B40,'Income Statement - Data'!$B$3:$B$33,0),MATCH('Profit &amp; loss'!C$11,'Income Statement - Data'!$C$2:$D$2,0))</f>
        <v>-61.8</v>
      </c>
      <c r="D40">
        <f>INDEX('Income Statement - Data'!$C$3:$D$33,MATCH($B40,'Income Statement - Data'!$B$3:$B$33,0),MATCH('Profit &amp; loss'!D$11,'Income Statement - Data'!$C$2:$D$2,0))</f>
        <v>-69.5</v>
      </c>
      <c r="E40" s="37">
        <f ca="1">-E39*E105</f>
        <v>-48.315086502429089</v>
      </c>
      <c r="F40" s="37">
        <f ca="1">-F39*F105</f>
        <v>-44.126613982360688</v>
      </c>
    </row>
    <row r="41" spans="2:9" x14ac:dyDescent="0.25">
      <c r="B41" s="30" t="s">
        <v>0</v>
      </c>
      <c r="C41" s="30">
        <f>SUM(C39:C40)</f>
        <v>255.7000000000001</v>
      </c>
      <c r="D41" s="30">
        <f>SUM(D39:D40)</f>
        <v>271.90000000000009</v>
      </c>
      <c r="E41" s="46">
        <f ca="1">SUM(E39:E40)</f>
        <v>194.34065538557596</v>
      </c>
      <c r="F41" s="46">
        <f ca="1">SUM(F39:F40)</f>
        <v>177.49311244319409</v>
      </c>
      <c r="G41" s="30"/>
      <c r="H41" s="30"/>
      <c r="I41" s="30"/>
    </row>
    <row r="44" spans="2:9" x14ac:dyDescent="0.25">
      <c r="B44" s="32" t="s">
        <v>91</v>
      </c>
      <c r="C44" s="33">
        <v>2024</v>
      </c>
      <c r="D44" s="33">
        <f>D11</f>
        <v>2025</v>
      </c>
      <c r="E44" s="33">
        <f>E11</f>
        <v>2026</v>
      </c>
      <c r="F44" s="33">
        <f>F11</f>
        <v>2027</v>
      </c>
      <c r="G44" s="32" t="s">
        <v>95</v>
      </c>
    </row>
    <row r="45" spans="2:9" x14ac:dyDescent="0.25">
      <c r="B45" s="33" t="s">
        <v>92</v>
      </c>
      <c r="C45" s="33"/>
      <c r="D45" s="33"/>
      <c r="E45" s="33"/>
      <c r="F45" s="33"/>
      <c r="G45" s="32" t="s">
        <v>98</v>
      </c>
    </row>
    <row r="46" spans="2:9" s="8" customFormat="1" x14ac:dyDescent="0.25">
      <c r="B46" s="32" t="s">
        <v>93</v>
      </c>
      <c r="C46" s="32"/>
      <c r="D46" s="39">
        <f ca="1">OFFSET(D46,MATCH($C$9,$B47:$B49,0),)</f>
        <v>0.13003462526527429</v>
      </c>
      <c r="E46" s="39">
        <f ca="1">OFFSET(E46,MATCH($C$9,$B47:$B49,0),)</f>
        <v>3.5859724034317718E-2</v>
      </c>
      <c r="F46" s="39">
        <f ca="1">OFFSET(F46,MATCH($C$9,$B47:$B49,0),)</f>
        <v>2.0992366412213741E-2</v>
      </c>
      <c r="G46" s="32"/>
    </row>
    <row r="47" spans="2:9" x14ac:dyDescent="0.25">
      <c r="B47" s="33" t="s">
        <v>94</v>
      </c>
      <c r="C47" s="33"/>
      <c r="D47" s="34">
        <f>(D$12-C$12)/C$12</f>
        <v>0.13003462526527429</v>
      </c>
      <c r="E47" s="36">
        <f>E48+$G47</f>
        <v>4.585972403431772E-2</v>
      </c>
      <c r="F47" s="36">
        <f>F48+$G47</f>
        <v>3.0992366412213743E-2</v>
      </c>
      <c r="G47" s="36">
        <v>0.01</v>
      </c>
    </row>
    <row r="48" spans="2:9" x14ac:dyDescent="0.25">
      <c r="B48" s="33" t="s">
        <v>95</v>
      </c>
      <c r="C48" s="33"/>
      <c r="D48" s="34">
        <f>(D$12-C$12)/C$12</f>
        <v>0.13003462526527429</v>
      </c>
      <c r="E48" s="36">
        <f>(E$12-D$12)/D$12</f>
        <v>3.5859724034317718E-2</v>
      </c>
      <c r="F48" s="36">
        <f>(F$12-E$12)/E$12</f>
        <v>2.0992366412213741E-2</v>
      </c>
      <c r="G48" s="36"/>
    </row>
    <row r="49" spans="2:7" x14ac:dyDescent="0.25">
      <c r="B49" s="33" t="s">
        <v>96</v>
      </c>
      <c r="C49" s="33"/>
      <c r="D49" s="34">
        <f>(D$12-C$12)/C$12</f>
        <v>0.13003462526527429</v>
      </c>
      <c r="E49" s="36">
        <f>$E$48+$G49</f>
        <v>2.5859724034317716E-2</v>
      </c>
      <c r="F49" s="36">
        <f>F48+$G49</f>
        <v>1.0992366412213741E-2</v>
      </c>
      <c r="G49" s="36">
        <v>-0.01</v>
      </c>
    </row>
    <row r="50" spans="2:7" x14ac:dyDescent="0.25">
      <c r="B50" s="33" t="str">
        <f>B14 &amp; " as % of revenue"</f>
        <v>Staff costs as % of revenue</v>
      </c>
      <c r="C50" s="33"/>
      <c r="D50" s="33"/>
      <c r="E50" s="33"/>
      <c r="F50" s="33"/>
      <c r="G50" s="36"/>
    </row>
    <row r="51" spans="2:7" s="8" customFormat="1" x14ac:dyDescent="0.25">
      <c r="B51" s="32" t="s">
        <v>93</v>
      </c>
      <c r="C51" s="39">
        <f ca="1">OFFSET(C51,MATCH($C$9,$B52:$B54,0),)</f>
        <v>0.45216128671953532</v>
      </c>
      <c r="D51" s="39">
        <f ca="1">OFFSET(D51,MATCH($C$9,$B52:$B54,0),)</f>
        <v>0.4491361246194599</v>
      </c>
      <c r="E51" s="39">
        <f ca="1">OFFSET(E51,MATCH($C$9,$B52:$B54,0),)</f>
        <v>0.4491361246194599</v>
      </c>
      <c r="F51" s="39">
        <f ca="1">OFFSET(F51,MATCH($C$9,$B52:$B54,0),)</f>
        <v>0.4491361246194599</v>
      </c>
      <c r="G51" s="36"/>
    </row>
    <row r="52" spans="2:7" x14ac:dyDescent="0.25">
      <c r="B52" s="33" t="s">
        <v>94</v>
      </c>
      <c r="C52" s="34">
        <f>-C$14/C$12</f>
        <v>0.45216128671953532</v>
      </c>
      <c r="D52" s="34">
        <f>-D$14/D$12</f>
        <v>0.4491361246194599</v>
      </c>
      <c r="E52" s="36">
        <f>$E$53+$G52</f>
        <v>0.43913612461945989</v>
      </c>
      <c r="F52" s="36">
        <f>$E$53+$G52</f>
        <v>0.43913612461945989</v>
      </c>
      <c r="G52" s="36">
        <v>-0.01</v>
      </c>
    </row>
    <row r="53" spans="2:7" x14ac:dyDescent="0.25">
      <c r="B53" s="33" t="s">
        <v>95</v>
      </c>
      <c r="C53" s="34">
        <f>-C$14/C$12</f>
        <v>0.45216128671953532</v>
      </c>
      <c r="D53" s="34">
        <f>-$D$14/$D$12</f>
        <v>0.4491361246194599</v>
      </c>
      <c r="E53" s="34">
        <f>-$D$14/$D$12</f>
        <v>0.4491361246194599</v>
      </c>
      <c r="F53" s="34">
        <f>-$D$14/$D$12</f>
        <v>0.4491361246194599</v>
      </c>
      <c r="G53" s="36"/>
    </row>
    <row r="54" spans="2:7" x14ac:dyDescent="0.25">
      <c r="B54" s="33" t="s">
        <v>96</v>
      </c>
      <c r="C54" s="34">
        <f>-C$14/C$12</f>
        <v>0.45216128671953532</v>
      </c>
      <c r="D54" s="34">
        <f>-D$14/D$12</f>
        <v>0.4491361246194599</v>
      </c>
      <c r="E54" s="36">
        <f>E$53+$G54</f>
        <v>0.45913612461945991</v>
      </c>
      <c r="F54" s="36">
        <f>F$53+$G54</f>
        <v>0.45913612461945991</v>
      </c>
      <c r="G54" s="36">
        <v>0.01</v>
      </c>
    </row>
    <row r="55" spans="2:7" x14ac:dyDescent="0.25">
      <c r="B55" s="33" t="str">
        <f>B15 &amp; " as % of revenue"</f>
        <v>Contract services and subcontractor costs as % of revenue</v>
      </c>
      <c r="C55" s="33"/>
      <c r="D55" s="33"/>
      <c r="E55" s="33"/>
      <c r="F55" s="33"/>
      <c r="G55" s="36"/>
    </row>
    <row r="56" spans="2:7" x14ac:dyDescent="0.25">
      <c r="B56" s="32" t="s">
        <v>93</v>
      </c>
      <c r="C56" s="39">
        <f ca="1">OFFSET(C56,MATCH($C$9,$B57:$B59,0),)</f>
        <v>9.9586730704791696E-2</v>
      </c>
      <c r="D56" s="39">
        <f ca="1">OFFSET(D56,MATCH($C$9,$B57:$B59,0),)</f>
        <v>0.12736725576246391</v>
      </c>
      <c r="E56" s="39">
        <f ca="1">OFFSET(E56,MATCH($C$9,$B57:$B59,0),)</f>
        <v>0.12736725576246391</v>
      </c>
      <c r="F56" s="39">
        <f ca="1">OFFSET(F56,MATCH($C$9,$B57:$B59,0),)</f>
        <v>0.12736725576246391</v>
      </c>
      <c r="G56" s="36"/>
    </row>
    <row r="57" spans="2:7" x14ac:dyDescent="0.25">
      <c r="B57" s="33" t="s">
        <v>94</v>
      </c>
      <c r="C57" s="34">
        <f>-C$15/C$12</f>
        <v>9.9586730704791696E-2</v>
      </c>
      <c r="D57" s="34">
        <f>-$D$15/$D$12</f>
        <v>0.12736725576246391</v>
      </c>
      <c r="E57" s="36">
        <f>E$58+$G57</f>
        <v>0.11736725576246392</v>
      </c>
      <c r="F57" s="36">
        <f>F$58+$G57</f>
        <v>0.11736725576246392</v>
      </c>
      <c r="G57" s="36">
        <v>-0.01</v>
      </c>
    </row>
    <row r="58" spans="2:7" x14ac:dyDescent="0.25">
      <c r="B58" s="33" t="s">
        <v>95</v>
      </c>
      <c r="C58" s="34">
        <f>-C$15/C$12</f>
        <v>9.9586730704791696E-2</v>
      </c>
      <c r="D58" s="34">
        <f>-$D$15/$D$12</f>
        <v>0.12736725576246391</v>
      </c>
      <c r="E58" s="34">
        <f>-$D$15/$D$12</f>
        <v>0.12736725576246391</v>
      </c>
      <c r="F58" s="34">
        <f>-$D$15/$D$12</f>
        <v>0.12736725576246391</v>
      </c>
      <c r="G58" s="36"/>
    </row>
    <row r="59" spans="2:7" x14ac:dyDescent="0.25">
      <c r="B59" s="33" t="s">
        <v>96</v>
      </c>
      <c r="C59" s="34">
        <f>-C$15/C$12</f>
        <v>9.9586730704791696E-2</v>
      </c>
      <c r="D59" s="34">
        <f>-D$15/D$12</f>
        <v>0.12736725576246391</v>
      </c>
      <c r="E59" s="36">
        <f>E$58+$G59</f>
        <v>0.13736725576246392</v>
      </c>
      <c r="F59" s="36">
        <f>F$58+$G59</f>
        <v>0.13736725576246392</v>
      </c>
      <c r="G59" s="36">
        <v>0.01</v>
      </c>
    </row>
    <row r="60" spans="2:7" x14ac:dyDescent="0.25">
      <c r="B60" s="33" t="str">
        <f>B16 &amp; " as % of revenue"</f>
        <v>Fuel and electricity costs as % of revenue</v>
      </c>
      <c r="C60" s="33"/>
      <c r="D60" s="33"/>
      <c r="E60" s="33"/>
      <c r="F60" s="33"/>
      <c r="G60" s="36"/>
    </row>
    <row r="61" spans="2:7" x14ac:dyDescent="0.25">
      <c r="B61" s="32" t="s">
        <v>93</v>
      </c>
      <c r="C61" s="39">
        <f ca="1">OFFSET(C61,MATCH($C$9,$B62:$B64,0),)</f>
        <v>8.8730034625265269E-2</v>
      </c>
      <c r="D61" s="39">
        <f ca="1">OFFSET(D61,MATCH($C$9,$B62:$B64,0),)</f>
        <v>6.9367018542679779E-2</v>
      </c>
      <c r="E61" s="39">
        <f ca="1">OFFSET(E61,MATCH($C$9,$B62:$B64,0),)</f>
        <v>6.9367018542679779E-2</v>
      </c>
      <c r="F61" s="39">
        <f ca="1">OFFSET(F61,MATCH($C$9,$B62:$B64,0),)</f>
        <v>6.9367018542679779E-2</v>
      </c>
      <c r="G61" s="36"/>
    </row>
    <row r="62" spans="2:7" x14ac:dyDescent="0.25">
      <c r="B62" s="33" t="s">
        <v>94</v>
      </c>
      <c r="C62" s="34">
        <f>-C$16/C$12</f>
        <v>8.8730034625265269E-2</v>
      </c>
      <c r="D62" s="34">
        <f>-D$16/D$12</f>
        <v>6.9367018542679779E-2</v>
      </c>
      <c r="E62" s="36">
        <f>E$63+$G62</f>
        <v>5.9367018542679777E-2</v>
      </c>
      <c r="F62" s="36">
        <f>F$63+$G62</f>
        <v>5.9367018542679777E-2</v>
      </c>
      <c r="G62" s="36">
        <v>-0.01</v>
      </c>
    </row>
    <row r="63" spans="2:7" x14ac:dyDescent="0.25">
      <c r="B63" s="33" t="s">
        <v>95</v>
      </c>
      <c r="C63" s="34">
        <f>-C$16/C$12</f>
        <v>8.8730034625265269E-2</v>
      </c>
      <c r="D63" s="34">
        <f>-$D$16/$D$12</f>
        <v>6.9367018542679779E-2</v>
      </c>
      <c r="E63" s="34">
        <f>-$D$16/$D$12</f>
        <v>6.9367018542679779E-2</v>
      </c>
      <c r="F63" s="34">
        <f>-$D$16/$D$12</f>
        <v>6.9367018542679779E-2</v>
      </c>
      <c r="G63" s="36"/>
    </row>
    <row r="64" spans="2:7" x14ac:dyDescent="0.25">
      <c r="B64" s="33" t="s">
        <v>96</v>
      </c>
      <c r="C64" s="34">
        <f>-C$16/C$12</f>
        <v>8.8730034625265269E-2</v>
      </c>
      <c r="D64" s="34">
        <f>-D$16/D$12</f>
        <v>6.9367018542679779E-2</v>
      </c>
      <c r="E64" s="36">
        <f>E$63+$G64</f>
        <v>7.9367018542679774E-2</v>
      </c>
      <c r="F64" s="36">
        <f>F$63+$G64</f>
        <v>7.9367018542679774E-2</v>
      </c>
      <c r="G64" s="36">
        <v>0.01</v>
      </c>
    </row>
    <row r="65" spans="2:7" x14ac:dyDescent="0.25">
      <c r="B65" s="33" t="str">
        <f>B17 &amp; " as % of revenue"</f>
        <v>Repairs and maintenance costs as % of revenue</v>
      </c>
      <c r="C65" s="33"/>
      <c r="D65" s="33"/>
      <c r="E65" s="33"/>
      <c r="F65" s="33"/>
      <c r="G65" s="36"/>
    </row>
    <row r="66" spans="2:7" x14ac:dyDescent="0.25">
      <c r="B66" s="32" t="s">
        <v>93</v>
      </c>
      <c r="C66" s="39">
        <f ca="1">OFFSET(C66,MATCH($C$9,$B67:$B69,0),)</f>
        <v>7.365129007036747E-2</v>
      </c>
      <c r="D66" s="39">
        <f ca="1">OFFSET(D66,MATCH($C$9,$B67:$B69,0),)</f>
        <v>7.8029710711493352E-2</v>
      </c>
      <c r="E66" s="39">
        <f ca="1">OFFSET(E66,MATCH($C$9,$B67:$B69,0),)</f>
        <v>7.8029710711493352E-2</v>
      </c>
      <c r="F66" s="39">
        <f ca="1">OFFSET(F66,MATCH($C$9,$B67:$B69,0),)</f>
        <v>7.8029710711493352E-2</v>
      </c>
      <c r="G66" s="36"/>
    </row>
    <row r="67" spans="2:7" x14ac:dyDescent="0.25">
      <c r="B67" s="33" t="s">
        <v>94</v>
      </c>
      <c r="C67" s="34">
        <f>-C$17/$C$12</f>
        <v>7.365129007036747E-2</v>
      </c>
      <c r="D67" s="34">
        <f>-D$17/$C$12</f>
        <v>7.8029710711493352E-2</v>
      </c>
      <c r="E67" s="36">
        <f>E$68+$G67</f>
        <v>6.8029710711493357E-2</v>
      </c>
      <c r="F67" s="36">
        <f>F$68+$G67</f>
        <v>6.8029710711493357E-2</v>
      </c>
      <c r="G67" s="36">
        <v>-0.01</v>
      </c>
    </row>
    <row r="68" spans="2:7" x14ac:dyDescent="0.25">
      <c r="B68" s="33" t="s">
        <v>95</v>
      </c>
      <c r="C68" s="34">
        <f>-C$17/$C$12</f>
        <v>7.365129007036747E-2</v>
      </c>
      <c r="D68" s="34">
        <f>-$D$17/$C$12</f>
        <v>7.8029710711493352E-2</v>
      </c>
      <c r="E68" s="34">
        <f>-$D$17/$C$12</f>
        <v>7.8029710711493352E-2</v>
      </c>
      <c r="F68" s="34">
        <f>-$D$17/$C$12</f>
        <v>7.8029710711493352E-2</v>
      </c>
      <c r="G68" s="36"/>
    </row>
    <row r="69" spans="2:7" x14ac:dyDescent="0.25">
      <c r="B69" s="33" t="s">
        <v>96</v>
      </c>
      <c r="C69" s="34">
        <f>-C$17/$C$12</f>
        <v>7.365129007036747E-2</v>
      </c>
      <c r="D69" s="34">
        <f>-D$17/$C$12</f>
        <v>7.8029710711493352E-2</v>
      </c>
      <c r="E69" s="36">
        <f>E$68+$G69</f>
        <v>8.8029710711493347E-2</v>
      </c>
      <c r="F69" s="36">
        <f>F$68+$G69</f>
        <v>8.8029710711493347E-2</v>
      </c>
      <c r="G69" s="36">
        <v>0.01</v>
      </c>
    </row>
    <row r="70" spans="2:7" x14ac:dyDescent="0.25">
      <c r="B70" s="33" t="str">
        <f>B18 &amp; " as % of revenue"</f>
        <v>Materials and consumables costs as % of revenue</v>
      </c>
      <c r="C70" s="33"/>
      <c r="D70" s="33"/>
      <c r="E70" s="33"/>
      <c r="F70" s="33"/>
      <c r="G70" s="36"/>
    </row>
    <row r="71" spans="2:7" x14ac:dyDescent="0.25">
      <c r="B71" s="32" t="s">
        <v>93</v>
      </c>
      <c r="C71" s="39">
        <f ca="1">OFFSET(C71,MATCH($C$9,$B72:$B74,0),)</f>
        <v>2.3321791578241931E-2</v>
      </c>
      <c r="D71" s="39">
        <f ca="1">OFFSET(D71,MATCH($C$9,$B72:$B74,0),)</f>
        <v>2.0104992739863731E-2</v>
      </c>
      <c r="E71" s="39">
        <f ca="1">OFFSET(E71,MATCH($C$9,$B72:$B74,0),)</f>
        <v>2.0104992739863731E-2</v>
      </c>
      <c r="F71" s="39">
        <f ca="1">OFFSET(F71,MATCH($C$9,$B72:$B74,0),)</f>
        <v>2.0104992739863731E-2</v>
      </c>
      <c r="G71" s="36"/>
    </row>
    <row r="72" spans="2:7" x14ac:dyDescent="0.25">
      <c r="B72" s="33" t="s">
        <v>94</v>
      </c>
      <c r="C72" s="34">
        <f>-C$18/$C$12</f>
        <v>2.3321791578241931E-2</v>
      </c>
      <c r="D72" s="34">
        <f>-D$18/$C$12</f>
        <v>2.0104992739863731E-2</v>
      </c>
      <c r="E72" s="36">
        <f>E$73+$G72</f>
        <v>1.0104992739863731E-2</v>
      </c>
      <c r="F72" s="36">
        <f>F$73+$G72</f>
        <v>1.0104992739863731E-2</v>
      </c>
      <c r="G72" s="36">
        <v>-0.01</v>
      </c>
    </row>
    <row r="73" spans="2:7" x14ac:dyDescent="0.25">
      <c r="B73" s="33" t="s">
        <v>95</v>
      </c>
      <c r="C73" s="34">
        <f>-C$18/$C$12</f>
        <v>2.3321791578241931E-2</v>
      </c>
      <c r="D73" s="34">
        <f>-$D$18/$C$12</f>
        <v>2.0104992739863731E-2</v>
      </c>
      <c r="E73" s="34">
        <f>-$D$18/$C$12</f>
        <v>2.0104992739863731E-2</v>
      </c>
      <c r="F73" s="34">
        <f>-$D$18/$C$12</f>
        <v>2.0104992739863731E-2</v>
      </c>
      <c r="G73" s="36"/>
    </row>
    <row r="74" spans="2:7" x14ac:dyDescent="0.25">
      <c r="B74" s="33" t="s">
        <v>96</v>
      </c>
      <c r="C74" s="34">
        <f>-C$18/$C$12</f>
        <v>2.3321791578241931E-2</v>
      </c>
      <c r="D74" s="34">
        <f>-D$18/$C$12</f>
        <v>2.0104992739863731E-2</v>
      </c>
      <c r="E74" s="36">
        <f>E$73+$G74</f>
        <v>3.010499273986373E-2</v>
      </c>
      <c r="F74" s="36">
        <f>F$73+$G74</f>
        <v>3.010499273986373E-2</v>
      </c>
      <c r="G74" s="36">
        <v>0.01</v>
      </c>
    </row>
    <row r="75" spans="2:7" x14ac:dyDescent="0.25">
      <c r="B75" s="33" t="str">
        <f>B19 &amp; " as % of revenue"</f>
        <v>Insurance premiums and accident claims as % of revenue</v>
      </c>
      <c r="C75" s="33"/>
      <c r="D75" s="33"/>
      <c r="E75" s="33"/>
      <c r="F75" s="33"/>
      <c r="G75" s="36"/>
    </row>
    <row r="76" spans="2:7" s="8" customFormat="1" x14ac:dyDescent="0.25">
      <c r="B76" s="32" t="s">
        <v>93</v>
      </c>
      <c r="C76" s="39">
        <f ca="1">OFFSET(C76,MATCH($C$9,$B77:$B79,0),)</f>
        <v>2.2807997319334299E-2</v>
      </c>
      <c r="D76" s="39">
        <f ca="1">OFFSET(D76,MATCH($C$9,$B77:$B79,0),)</f>
        <v>2.7387467887858816E-2</v>
      </c>
      <c r="E76" s="39">
        <f ca="1">OFFSET(E76,MATCH($C$9,$B77:$B79,0),)</f>
        <v>2.7387467887858816E-2</v>
      </c>
      <c r="F76" s="39">
        <f ca="1">OFFSET(F76,MATCH($C$9,$B77:$B79,0),)</f>
        <v>2.7387467887858816E-2</v>
      </c>
      <c r="G76" s="36"/>
    </row>
    <row r="77" spans="2:7" x14ac:dyDescent="0.25">
      <c r="B77" s="33" t="s">
        <v>94</v>
      </c>
      <c r="C77" s="34">
        <f>-C$19/$C$12</f>
        <v>2.2807997319334299E-2</v>
      </c>
      <c r="D77" s="34">
        <f>-D$19/$C$12</f>
        <v>2.7387467887858816E-2</v>
      </c>
      <c r="E77" s="36">
        <f>E$78+$G77</f>
        <v>1.7387467887858818E-2</v>
      </c>
      <c r="F77" s="36">
        <f>F$78+$G77</f>
        <v>1.7387467887858818E-2</v>
      </c>
      <c r="G77" s="36">
        <v>-0.01</v>
      </c>
    </row>
    <row r="78" spans="2:7" x14ac:dyDescent="0.25">
      <c r="B78" s="33" t="s">
        <v>95</v>
      </c>
      <c r="C78" s="34">
        <f>-C$19/$C$12</f>
        <v>2.2807997319334299E-2</v>
      </c>
      <c r="D78" s="34">
        <f>-$D$19/$C$12</f>
        <v>2.7387467887858816E-2</v>
      </c>
      <c r="E78" s="34">
        <f>-$D$19/$C$12</f>
        <v>2.7387467887858816E-2</v>
      </c>
      <c r="F78" s="34">
        <f>-$D$19/$C$12</f>
        <v>2.7387467887858816E-2</v>
      </c>
      <c r="G78" s="36"/>
    </row>
    <row r="79" spans="2:7" x14ac:dyDescent="0.25">
      <c r="B79" s="33" t="s">
        <v>96</v>
      </c>
      <c r="C79" s="34">
        <f>-C$19/$C$12</f>
        <v>2.2807997319334299E-2</v>
      </c>
      <c r="D79" s="34">
        <f>-D$19/$C$12</f>
        <v>2.7387467887858816E-2</v>
      </c>
      <c r="E79" s="36">
        <f>E$78+$G79</f>
        <v>3.7387467887858815E-2</v>
      </c>
      <c r="F79" s="36">
        <f>F$78+$G79</f>
        <v>3.7387467887858815E-2</v>
      </c>
      <c r="G79" s="36">
        <v>0.01</v>
      </c>
    </row>
    <row r="80" spans="2:7" x14ac:dyDescent="0.25">
      <c r="B80" s="33" t="str">
        <f>"general operating costs" &amp; " as % of revenue"</f>
        <v>general operating costs as % of revenue</v>
      </c>
      <c r="C80" s="33"/>
      <c r="D80" s="33"/>
      <c r="E80" s="33"/>
      <c r="F80" s="33"/>
      <c r="G80" s="36"/>
    </row>
    <row r="81" spans="2:7" x14ac:dyDescent="0.25">
      <c r="B81" s="32" t="s">
        <v>93</v>
      </c>
      <c r="C81" s="39">
        <f ca="1">OFFSET(C81,MATCH($C$9,$B82:$B84,0),)</f>
        <v>8.5312185859488437E-2</v>
      </c>
      <c r="D81" s="39">
        <f ca="1">OFFSET(D81,MATCH($C$9,$B82:$B84,0),)</f>
        <v>9.0321432807496133E-2</v>
      </c>
      <c r="E81" s="39">
        <f ca="1">OFFSET(E81,MATCH($C$9,$B82:$B84,0),)</f>
        <v>9.0321432807496133E-2</v>
      </c>
      <c r="F81" s="39">
        <f ca="1">OFFSET(F81,MATCH($C$9,$B82:$B84,0),)</f>
        <v>9.0321432807496133E-2</v>
      </c>
      <c r="G81" s="36"/>
    </row>
    <row r="82" spans="2:7" x14ac:dyDescent="0.25">
      <c r="B82" s="33" t="s">
        <v>94</v>
      </c>
      <c r="C82" s="34">
        <f>-SUM(C$20:C$28)/C$12</f>
        <v>8.5312185859488437E-2</v>
      </c>
      <c r="D82" s="34">
        <f>-SUM(D$20:D$28)/D$12</f>
        <v>9.0321432807496133E-2</v>
      </c>
      <c r="E82" s="36">
        <f>E$83+$G82</f>
        <v>8.0321432807496138E-2</v>
      </c>
      <c r="F82" s="36">
        <f>F$83+$G82</f>
        <v>8.0321432807496138E-2</v>
      </c>
      <c r="G82" s="36">
        <v>-0.01</v>
      </c>
    </row>
    <row r="83" spans="2:7" x14ac:dyDescent="0.25">
      <c r="B83" s="33" t="s">
        <v>95</v>
      </c>
      <c r="C83" s="34">
        <f>-SUM(C$20:C$28)/C$12</f>
        <v>8.5312185859488437E-2</v>
      </c>
      <c r="D83" s="34">
        <f>-SUM($D$20:$D$28)/$D$12</f>
        <v>9.0321432807496133E-2</v>
      </c>
      <c r="E83" s="34">
        <f>-SUM($D$20:$D$28)/$D$12</f>
        <v>9.0321432807496133E-2</v>
      </c>
      <c r="F83" s="34">
        <f>-SUM($D$20:$D$28)/$D$12</f>
        <v>9.0321432807496133E-2</v>
      </c>
      <c r="G83" s="36"/>
    </row>
    <row r="84" spans="2:7" x14ac:dyDescent="0.25">
      <c r="B84" s="33" t="s">
        <v>96</v>
      </c>
      <c r="C84" s="34">
        <f>-SUM(C$20:C$28)/C$12</f>
        <v>8.5312185859488437E-2</v>
      </c>
      <c r="D84" s="34">
        <f>-SUM(D$20:D$28)/D$12</f>
        <v>9.0321432807496133E-2</v>
      </c>
      <c r="E84" s="36">
        <f>E$83+$G84</f>
        <v>0.10032143280749613</v>
      </c>
      <c r="F84" s="36">
        <f>F$83+$G84</f>
        <v>0.10032143280749613</v>
      </c>
      <c r="G84" s="36">
        <v>0.01</v>
      </c>
    </row>
    <row r="85" spans="2:7" x14ac:dyDescent="0.25">
      <c r="B85" s="33" t="str">
        <f>B32 &amp; " as % of revenue"</f>
        <v>Depreciation and amortisation as % of revenue</v>
      </c>
      <c r="C85" s="34"/>
      <c r="D85" s="34"/>
      <c r="E85" s="36"/>
      <c r="F85" s="36"/>
      <c r="G85" s="36"/>
    </row>
    <row r="86" spans="2:7" x14ac:dyDescent="0.25">
      <c r="B86" s="32" t="s">
        <v>93</v>
      </c>
      <c r="C86" s="39">
        <f ca="1">OFFSET(C86,MATCH($C$9,$B87:$B89,0),)</f>
        <v>8.2296436948508869E-2</v>
      </c>
      <c r="D86" s="39">
        <f ca="1">OFFSET(D86,MATCH($C$9,$B87:$B89,0),)</f>
        <v>7.8994188115288813E-2</v>
      </c>
      <c r="E86" s="39">
        <f ca="1">OFFSET(E86,MATCH($C$9,$B87:$B89,0),)</f>
        <v>8.2718004823830724E-2</v>
      </c>
      <c r="F86" s="39">
        <f ca="1">OFFSET(F86,MATCH($C$9,$B87:$B89,0),)</f>
        <v>8.7878657479496317E-2</v>
      </c>
      <c r="G86" s="36"/>
    </row>
    <row r="87" spans="2:7" x14ac:dyDescent="0.25">
      <c r="B87" s="33" t="s">
        <v>94</v>
      </c>
      <c r="C87" s="34">
        <f>-C$32/$C$12</f>
        <v>8.2296436948508869E-2</v>
      </c>
      <c r="D87" s="34">
        <f>-D$32/D$12</f>
        <v>7.8994188115288813E-2</v>
      </c>
      <c r="E87" s="36">
        <f>E$88+$G87</f>
        <v>7.2718004823830729E-2</v>
      </c>
      <c r="F87" s="36">
        <f>F$88+$G87</f>
        <v>7.7878657479496322E-2</v>
      </c>
      <c r="G87" s="36">
        <v>-0.01</v>
      </c>
    </row>
    <row r="88" spans="2:7" x14ac:dyDescent="0.25">
      <c r="B88" s="33" t="s">
        <v>95</v>
      </c>
      <c r="C88" s="34">
        <f>-C$32/C$12</f>
        <v>8.2296436948508869E-2</v>
      </c>
      <c r="D88" s="34">
        <f>-D$32/D$12</f>
        <v>7.8994188115288813E-2</v>
      </c>
      <c r="E88" s="34">
        <f>-E$32/E$12</f>
        <v>8.2718004823830724E-2</v>
      </c>
      <c r="F88" s="34">
        <f>-F$32/F$12</f>
        <v>8.7878657479496317E-2</v>
      </c>
      <c r="G88" s="36"/>
    </row>
    <row r="89" spans="2:7" x14ac:dyDescent="0.25">
      <c r="B89" s="33" t="s">
        <v>96</v>
      </c>
      <c r="C89" s="34">
        <f>-C$32/$C$12</f>
        <v>8.2296436948508869E-2</v>
      </c>
      <c r="D89" s="34">
        <f>-D$32/D$12</f>
        <v>7.8994188115288813E-2</v>
      </c>
      <c r="E89" s="36">
        <f>E$88+$G89</f>
        <v>9.2718004823830719E-2</v>
      </c>
      <c r="F89" s="36">
        <f>F$88+$G89</f>
        <v>9.7878657479496312E-2</v>
      </c>
      <c r="G89" s="36">
        <v>0.01</v>
      </c>
    </row>
    <row r="90" spans="2:7" x14ac:dyDescent="0.25">
      <c r="B90" s="33" t="str">
        <f>B36 &amp; " as % of revenue"</f>
        <v>Investments income as % of revenue</v>
      </c>
      <c r="C90" s="34"/>
      <c r="D90" s="34"/>
      <c r="E90" s="36"/>
      <c r="F90" s="36"/>
      <c r="G90" s="36"/>
    </row>
    <row r="91" spans="2:7" x14ac:dyDescent="0.25">
      <c r="B91" s="32" t="s">
        <v>93</v>
      </c>
      <c r="C91" s="40">
        <f ca="1">OFFSET(C$91,MATCH($C$9,$B92:$B94,0),0)</f>
        <v>7.0814252205964479E-3</v>
      </c>
      <c r="D91" s="40">
        <f ca="1">OFFSET(D$91,MATCH($C$9,$B92:$B94,0),0)</f>
        <v>4.0327363302099387E-3</v>
      </c>
      <c r="E91" s="40">
        <f ca="1">OFFSET(E$91,MATCH($C$9,$B92:$B94,0),0)</f>
        <v>4.0327363302099387E-3</v>
      </c>
      <c r="F91" s="40">
        <f ca="1">OFFSET(F$91,MATCH($C$9,$B92:$B94,0),0)</f>
        <v>4.0327363302099387E-3</v>
      </c>
      <c r="G91" s="36"/>
    </row>
    <row r="92" spans="2:7" x14ac:dyDescent="0.25">
      <c r="B92" s="33" t="s">
        <v>94</v>
      </c>
      <c r="C92" s="34">
        <f>C$36/C$12</f>
        <v>7.0814252205964479E-3</v>
      </c>
      <c r="D92" s="34">
        <f>D$36/D$12</f>
        <v>4.0327363302099387E-3</v>
      </c>
      <c r="E92" s="36">
        <f>E93+$G$92</f>
        <v>6.0327363302099387E-3</v>
      </c>
      <c r="F92" s="36">
        <f>F93+$G$92</f>
        <v>6.0327363302099387E-3</v>
      </c>
      <c r="G92" s="36">
        <v>2E-3</v>
      </c>
    </row>
    <row r="93" spans="2:7" x14ac:dyDescent="0.25">
      <c r="B93" s="33" t="s">
        <v>95</v>
      </c>
      <c r="C93" s="34">
        <f>C$36/C$12</f>
        <v>7.0814252205964479E-3</v>
      </c>
      <c r="D93" s="34">
        <f>$D$36/$D$12</f>
        <v>4.0327363302099387E-3</v>
      </c>
      <c r="E93" s="34">
        <f>$D$36/$D$12</f>
        <v>4.0327363302099387E-3</v>
      </c>
      <c r="F93" s="34">
        <f>$D$36/$D$12</f>
        <v>4.0327363302099387E-3</v>
      </c>
      <c r="G93" s="36"/>
    </row>
    <row r="94" spans="2:7" x14ac:dyDescent="0.25">
      <c r="B94" s="33" t="s">
        <v>96</v>
      </c>
      <c r="C94" s="34">
        <f>C$36/C$12</f>
        <v>7.0814252205964479E-3</v>
      </c>
      <c r="D94" s="34">
        <f>D$36/D$12</f>
        <v>4.0327363302099387E-3</v>
      </c>
      <c r="E94" s="36">
        <f>E$93+$G94</f>
        <v>2.0327363302099387E-3</v>
      </c>
      <c r="F94" s="36">
        <f>F$93+$G94</f>
        <v>2.0327363302099387E-3</v>
      </c>
      <c r="G94" s="36">
        <v>-2E-3</v>
      </c>
    </row>
    <row r="95" spans="2:7" x14ac:dyDescent="0.25">
      <c r="B95" s="33" t="str">
        <f>B37 &amp; " as % of revenue"</f>
        <v>Finance costs as % of revenue</v>
      </c>
      <c r="C95" s="34"/>
      <c r="D95" s="34"/>
      <c r="E95" s="36"/>
      <c r="F95" s="36"/>
      <c r="G95" s="36"/>
    </row>
    <row r="96" spans="2:7" x14ac:dyDescent="0.25">
      <c r="B96" s="32" t="s">
        <v>93</v>
      </c>
      <c r="C96" s="40">
        <f ca="1">OFFSET(C$96,MATCH($C$9,$B97:$B99,0),0)</f>
        <v>8.6898246397855462E-3</v>
      </c>
      <c r="D96" s="40">
        <f ca="1">OFFSET(D$96,MATCH($C$9,$B97:$B99,0),0)</f>
        <v>1.0437670501719842E-2</v>
      </c>
      <c r="E96" s="40">
        <f ca="1">OFFSET(E$96,MATCH($C$9,$B97:$B99,0),0)</f>
        <v>1.0437670501719842E-2</v>
      </c>
      <c r="F96" s="40">
        <f ca="1">OFFSET(F$96,MATCH($C$9,$B97:$B99,0),0)</f>
        <v>1.0437670501719842E-2</v>
      </c>
      <c r="G96" s="36"/>
    </row>
    <row r="97" spans="2:7" x14ac:dyDescent="0.25">
      <c r="B97" s="33" t="s">
        <v>94</v>
      </c>
      <c r="C97" s="34">
        <f>-C$37/C$12</f>
        <v>8.6898246397855462E-3</v>
      </c>
      <c r="D97" s="34">
        <f>-D$37/D$12</f>
        <v>1.0437670501719842E-2</v>
      </c>
      <c r="E97" s="34">
        <f>E98+$G$97</f>
        <v>8.4376705017198423E-3</v>
      </c>
      <c r="F97" s="34">
        <f>F98+$G$97</f>
        <v>8.4376705017198423E-3</v>
      </c>
      <c r="G97" s="36">
        <v>-2E-3</v>
      </c>
    </row>
    <row r="98" spans="2:7" x14ac:dyDescent="0.25">
      <c r="B98" s="33" t="s">
        <v>95</v>
      </c>
      <c r="C98" s="34">
        <f>-C$37/C$12</f>
        <v>8.6898246397855462E-3</v>
      </c>
      <c r="D98" s="34">
        <f>-$D$37/$D$12</f>
        <v>1.0437670501719842E-2</v>
      </c>
      <c r="E98" s="34">
        <f>-$D$37/$D$12</f>
        <v>1.0437670501719842E-2</v>
      </c>
      <c r="F98" s="34">
        <f>-$D$37/$D$12</f>
        <v>1.0437670501719842E-2</v>
      </c>
      <c r="G98" s="36"/>
    </row>
    <row r="99" spans="2:7" x14ac:dyDescent="0.25">
      <c r="B99" s="33" t="s">
        <v>96</v>
      </c>
      <c r="C99" s="34">
        <f>-C$37/C$12</f>
        <v>8.6898246397855462E-3</v>
      </c>
      <c r="D99" s="34">
        <f>-D$37/D$12</f>
        <v>1.0437670501719842E-2</v>
      </c>
      <c r="E99" s="34">
        <f>$E98+$G$97</f>
        <v>8.4376705017198423E-3</v>
      </c>
      <c r="F99" s="34">
        <f>$E98+$G$97</f>
        <v>8.4376705017198423E-3</v>
      </c>
      <c r="G99" s="36">
        <v>2E-3</v>
      </c>
    </row>
    <row r="100" spans="2:7" x14ac:dyDescent="0.25">
      <c r="B100" s="33" t="str">
        <f>B38 &amp; " as % of revenue"</f>
        <v>Share of results of associates and joint ventures as % of revenue</v>
      </c>
      <c r="C100" s="34"/>
      <c r="D100" s="34"/>
      <c r="E100" s="34"/>
      <c r="F100" s="34"/>
      <c r="G100" s="36"/>
    </row>
    <row r="101" spans="2:7" x14ac:dyDescent="0.25">
      <c r="B101" s="32" t="s">
        <v>93</v>
      </c>
      <c r="C101" s="40">
        <f ca="1">OFFSET(C$101,MATCH($C$9,$B102:$B104,0),0)</f>
        <v>4.0209985479727468E-4</v>
      </c>
      <c r="D101" s="40">
        <f ca="1">OFFSET(D$101,MATCH($C$9,$B102:$B104,0),0)</f>
        <v>1.5814652275333095E-4</v>
      </c>
      <c r="E101" s="40">
        <f ca="1">OFFSET(E$101,MATCH($C$9,$B102:$B104,0),0)</f>
        <v>1.5814652275333095E-4</v>
      </c>
      <c r="F101" s="40">
        <f ca="1">OFFSET(F$101,MATCH($C$9,$B102:$B104,0),0)</f>
        <v>1.5814652275333095E-4</v>
      </c>
      <c r="G101" s="36"/>
    </row>
    <row r="102" spans="2:7" x14ac:dyDescent="0.25">
      <c r="B102" s="33" t="s">
        <v>94</v>
      </c>
      <c r="C102" s="34">
        <f>C$38/C$12</f>
        <v>4.0209985479727468E-4</v>
      </c>
      <c r="D102" s="34">
        <f>D$38/D$12</f>
        <v>1.5814652275333095E-4</v>
      </c>
      <c r="E102" s="34">
        <f>E103+$G102</f>
        <v>3.5814652275333096E-4</v>
      </c>
      <c r="F102" s="34">
        <f>F103+$G102</f>
        <v>3.5814652275333096E-4</v>
      </c>
      <c r="G102" s="36">
        <v>2.0000000000000001E-4</v>
      </c>
    </row>
    <row r="103" spans="2:7" x14ac:dyDescent="0.25">
      <c r="B103" s="33" t="s">
        <v>95</v>
      </c>
      <c r="C103" s="34">
        <f>C$38/C$12</f>
        <v>4.0209985479727468E-4</v>
      </c>
      <c r="D103" s="34">
        <f>$D38/$D$12</f>
        <v>1.5814652275333095E-4</v>
      </c>
      <c r="E103" s="34">
        <f>$D38/$D$12</f>
        <v>1.5814652275333095E-4</v>
      </c>
      <c r="F103" s="34">
        <f>$D38/$D$12</f>
        <v>1.5814652275333095E-4</v>
      </c>
      <c r="G103" s="36"/>
    </row>
    <row r="104" spans="2:7" x14ac:dyDescent="0.25">
      <c r="B104" s="33" t="s">
        <v>96</v>
      </c>
      <c r="C104" s="34">
        <f>C$38/C$12</f>
        <v>4.0209985479727468E-4</v>
      </c>
      <c r="D104" s="34">
        <f>D$38/D$12</f>
        <v>1.5814652275333095E-4</v>
      </c>
      <c r="E104" s="34">
        <f>E$103+$G104</f>
        <v>-4.1853477246669058E-5</v>
      </c>
      <c r="F104" s="34">
        <f>F$103+$G104</f>
        <v>-4.1853477246669058E-5</v>
      </c>
      <c r="G104" s="36">
        <v>-2.0000000000000001E-4</v>
      </c>
    </row>
    <row r="105" spans="2:7" x14ac:dyDescent="0.25">
      <c r="B105" s="33" t="str">
        <f>B40 &amp; " as % of EBT"</f>
        <v>Taxation as % of EBT</v>
      </c>
      <c r="C105" s="34">
        <f>-C40/C39</f>
        <v>0.1946456692913385</v>
      </c>
      <c r="D105" s="34">
        <f>-D40/D39</f>
        <v>0.20357352079671934</v>
      </c>
      <c r="E105" s="34">
        <f>AVERAGE(C105,D105)</f>
        <v>0.19910959504402892</v>
      </c>
      <c r="F105" s="34">
        <v>0.19910959504402892</v>
      </c>
      <c r="G105" s="36"/>
    </row>
    <row r="106" spans="2:7" x14ac:dyDescent="0.25">
      <c r="B106" s="33"/>
      <c r="C106" s="34"/>
      <c r="D106" s="34"/>
      <c r="E106" s="34"/>
      <c r="F106" s="34"/>
      <c r="G106" s="36"/>
    </row>
    <row r="107" spans="2:7" x14ac:dyDescent="0.25">
      <c r="B107" s="33"/>
      <c r="C107" s="34"/>
      <c r="D107" s="34"/>
      <c r="E107" s="34"/>
      <c r="F107" s="34"/>
      <c r="G107" s="36"/>
    </row>
    <row r="108" spans="2:7" x14ac:dyDescent="0.25">
      <c r="B108" s="33"/>
      <c r="C108" s="34"/>
      <c r="D108" s="34"/>
      <c r="E108" s="34"/>
      <c r="F108" s="34"/>
      <c r="G108" s="36"/>
    </row>
    <row r="109" spans="2:7" x14ac:dyDescent="0.25">
      <c r="B109" s="33"/>
      <c r="C109" s="34"/>
      <c r="D109" s="34"/>
      <c r="E109" s="34"/>
      <c r="F109" s="34"/>
      <c r="G109" s="36"/>
    </row>
    <row r="110" spans="2:7" x14ac:dyDescent="0.25">
      <c r="B110" s="33"/>
      <c r="C110" s="34"/>
      <c r="D110" s="34"/>
      <c r="E110" s="34"/>
      <c r="F110" s="34"/>
      <c r="G110" s="36"/>
    </row>
    <row r="111" spans="2:7" x14ac:dyDescent="0.25">
      <c r="B111" s="33"/>
      <c r="C111" s="34"/>
      <c r="D111" s="34"/>
      <c r="E111" s="34"/>
      <c r="F111" s="34"/>
      <c r="G111" s="36"/>
    </row>
    <row r="112" spans="2:7" x14ac:dyDescent="0.25">
      <c r="B112" s="33"/>
      <c r="C112" s="34"/>
      <c r="D112" s="34"/>
      <c r="E112" s="34"/>
      <c r="F112" s="34"/>
      <c r="G112" s="36"/>
    </row>
    <row r="113" spans="2:7" x14ac:dyDescent="0.25">
      <c r="B113" s="33"/>
      <c r="C113" s="34"/>
      <c r="D113" s="34"/>
      <c r="E113" s="34"/>
      <c r="F113" s="34"/>
      <c r="G113" s="36"/>
    </row>
  </sheetData>
  <mergeCells count="1">
    <mergeCell ref="A1:F1"/>
  </mergeCells>
  <dataValidations count="1">
    <dataValidation type="list" allowBlank="1" showInputMessage="1" showErrorMessage="1" sqref="C9" xr:uid="{7DFCBFE0-F8D3-44E3-AB0E-0F6251EB572D}">
      <formula1>B$47:B$49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9BC0-FAD4-4528-B47C-736F2FD2BE51}">
  <dimension ref="B2:F56"/>
  <sheetViews>
    <sheetView zoomScale="130" zoomScaleNormal="130" workbookViewId="0">
      <selection activeCell="F56" sqref="F56"/>
    </sheetView>
  </sheetViews>
  <sheetFormatPr defaultRowHeight="15" x14ac:dyDescent="0.25"/>
  <cols>
    <col min="2" max="2" width="66.5703125" bestFit="1" customWidth="1"/>
  </cols>
  <sheetData>
    <row r="2" spans="2:6" x14ac:dyDescent="0.25">
      <c r="B2" s="41" t="s">
        <v>99</v>
      </c>
      <c r="C2" s="105" t="s">
        <v>100</v>
      </c>
      <c r="D2" s="105"/>
      <c r="E2" s="105"/>
      <c r="F2" s="105"/>
    </row>
    <row r="3" spans="2:6" x14ac:dyDescent="0.25">
      <c r="B3" s="41" t="s">
        <v>101</v>
      </c>
      <c r="C3" s="42">
        <v>2024</v>
      </c>
      <c r="D3" s="42">
        <f>C3+1</f>
        <v>2025</v>
      </c>
      <c r="E3" s="42">
        <f>D3+1</f>
        <v>2026</v>
      </c>
      <c r="F3" s="42">
        <f>E3+1</f>
        <v>2027</v>
      </c>
    </row>
    <row r="4" spans="2:6" x14ac:dyDescent="0.25">
      <c r="B4" t="s">
        <v>107</v>
      </c>
      <c r="C4" s="31">
        <v>317.5</v>
      </c>
      <c r="D4" s="31">
        <v>341.4</v>
      </c>
      <c r="E4" s="43">
        <f ca="1">'Profit &amp; loss'!E39</f>
        <v>242.65574188800505</v>
      </c>
      <c r="F4" s="43">
        <f ca="1">'Profit &amp; loss'!F39</f>
        <v>221.61972642555477</v>
      </c>
    </row>
    <row r="5" spans="2:6" x14ac:dyDescent="0.25">
      <c r="B5" t="s">
        <v>18</v>
      </c>
      <c r="C5" s="31">
        <v>368.4</v>
      </c>
      <c r="D5" s="31">
        <v>399.6</v>
      </c>
      <c r="E5" s="43">
        <f>-'Profit &amp; loss'!E32</f>
        <v>433.44234527687303</v>
      </c>
      <c r="F5" s="43">
        <f>-'Profit &amp; loss'!F32</f>
        <v>470.15081751530528</v>
      </c>
    </row>
    <row r="6" spans="2:6" x14ac:dyDescent="0.25">
      <c r="B6" t="s">
        <v>34</v>
      </c>
      <c r="C6" s="47">
        <v>38.9</v>
      </c>
      <c r="D6" s="47">
        <v>52.8</v>
      </c>
      <c r="E6" s="43">
        <f>-'Profit &amp; loss'!E37</f>
        <v>70.480762890955205</v>
      </c>
      <c r="F6" s="43">
        <f>-'Profit &amp; loss'!F37</f>
        <v>70.480762890955205</v>
      </c>
    </row>
    <row r="7" spans="2:6" x14ac:dyDescent="0.25">
      <c r="B7" t="s">
        <v>108</v>
      </c>
      <c r="C7" s="47">
        <v>-6.1</v>
      </c>
      <c r="D7" s="47">
        <v>0</v>
      </c>
      <c r="E7" s="43">
        <v>0</v>
      </c>
      <c r="F7" s="43">
        <v>0</v>
      </c>
    </row>
    <row r="8" spans="2:6" x14ac:dyDescent="0.25">
      <c r="B8" t="s">
        <v>178</v>
      </c>
      <c r="C8" s="47">
        <v>-25.1</v>
      </c>
      <c r="D8" s="47">
        <v>-18.899999999999999</v>
      </c>
      <c r="E8" s="43"/>
      <c r="F8" s="43"/>
    </row>
    <row r="9" spans="2:6" x14ac:dyDescent="0.25">
      <c r="B9" t="s">
        <v>29</v>
      </c>
      <c r="C9" s="47">
        <v>-5.0999999999999996</v>
      </c>
      <c r="D9" s="47">
        <v>-0.3</v>
      </c>
      <c r="E9" s="43">
        <v>0</v>
      </c>
      <c r="F9" s="43">
        <v>0</v>
      </c>
    </row>
    <row r="10" spans="2:6" x14ac:dyDescent="0.25">
      <c r="B10" t="s">
        <v>109</v>
      </c>
      <c r="C10" s="47" t="s">
        <v>14</v>
      </c>
      <c r="D10" s="47">
        <v>-25.6</v>
      </c>
      <c r="E10" s="43">
        <v>0</v>
      </c>
      <c r="F10" s="43">
        <v>0</v>
      </c>
    </row>
    <row r="11" spans="2:6" x14ac:dyDescent="0.25">
      <c r="B11" t="s">
        <v>110</v>
      </c>
      <c r="C11" s="47" t="s">
        <v>14</v>
      </c>
      <c r="D11" s="47">
        <v>-1.1000000000000001</v>
      </c>
      <c r="E11" s="43">
        <v>0</v>
      </c>
      <c r="F11" s="43">
        <v>0</v>
      </c>
    </row>
    <row r="12" spans="2:6" x14ac:dyDescent="0.25">
      <c r="B12" t="s">
        <v>111</v>
      </c>
      <c r="C12" s="47">
        <v>-0.4</v>
      </c>
      <c r="D12" s="47" t="s">
        <v>14</v>
      </c>
      <c r="E12" s="43">
        <v>0</v>
      </c>
      <c r="F12" s="43">
        <v>0</v>
      </c>
    </row>
    <row r="13" spans="2:6" x14ac:dyDescent="0.25">
      <c r="B13" t="s">
        <v>112</v>
      </c>
      <c r="C13" s="47" t="s">
        <v>14</v>
      </c>
      <c r="D13" s="47">
        <v>2.1</v>
      </c>
      <c r="E13" s="43">
        <v>0</v>
      </c>
      <c r="F13" s="43">
        <v>0</v>
      </c>
    </row>
    <row r="14" spans="2:6" x14ac:dyDescent="0.25">
      <c r="B14" t="s">
        <v>74</v>
      </c>
      <c r="C14" s="47">
        <v>10.6</v>
      </c>
      <c r="D14" s="47">
        <v>33.4</v>
      </c>
      <c r="E14" s="43">
        <v>0</v>
      </c>
      <c r="F14" s="43">
        <v>0</v>
      </c>
    </row>
    <row r="15" spans="2:6" x14ac:dyDescent="0.25">
      <c r="B15" t="s">
        <v>113</v>
      </c>
      <c r="C15" s="47">
        <v>7.8</v>
      </c>
      <c r="D15" s="47">
        <v>6.1</v>
      </c>
      <c r="E15" s="43">
        <v>0</v>
      </c>
      <c r="F15" s="43">
        <v>0</v>
      </c>
    </row>
    <row r="16" spans="2:6" x14ac:dyDescent="0.25">
      <c r="B16" t="s">
        <v>114</v>
      </c>
      <c r="C16" s="47">
        <v>-0.7</v>
      </c>
      <c r="D16" s="47">
        <v>0.4</v>
      </c>
      <c r="E16" s="43">
        <v>0</v>
      </c>
      <c r="F16" s="43">
        <v>0</v>
      </c>
    </row>
    <row r="17" spans="2:6" x14ac:dyDescent="0.25">
      <c r="B17" t="str">
        <f>"change in " &amp; "Inventories"</f>
        <v>change in Inventories</v>
      </c>
      <c r="C17" s="47">
        <v>-22</v>
      </c>
      <c r="D17" s="47">
        <v>0.8</v>
      </c>
      <c r="E17" s="43">
        <f ca="1">-('balance sheet'!I9-'balance sheet'!H9)</f>
        <v>-5.4255762463922679</v>
      </c>
      <c r="F17" s="43">
        <f ca="1">-('balance sheet'!J9-'balance sheet'!I9)</f>
        <v>-3.2900407227296284</v>
      </c>
    </row>
    <row r="18" spans="2:6" x14ac:dyDescent="0.25">
      <c r="B18" t="str">
        <f>"change in " &amp; "Trade, other receivables and prepayments"</f>
        <v>change in Trade, other receivables and prepayments</v>
      </c>
      <c r="C18" s="47">
        <v>-34.9</v>
      </c>
      <c r="D18" s="47">
        <v>-48.3</v>
      </c>
      <c r="E18" s="43">
        <f ca="1">-(SUM('balance sheet'!I7,'balance sheet'!I8)-SUM('balance sheet'!H7,'balance sheet'!H8))</f>
        <v>-31.022247262088285</v>
      </c>
      <c r="F18" s="43">
        <f ca="1">-(SUM('balance sheet'!J7,'balance sheet'!J8)-SUM('balance sheet'!I7,'balance sheet'!I8))</f>
        <v>-18.811726564662081</v>
      </c>
    </row>
    <row r="19" spans="2:6" x14ac:dyDescent="0.25">
      <c r="B19" t="str">
        <f>"change in " &amp; "Service concession receivables,net of deferred grants"</f>
        <v>change in Service concession receivables,net of deferred grants</v>
      </c>
      <c r="C19" s="47">
        <v>0.1</v>
      </c>
      <c r="D19" s="47">
        <v>-133.6</v>
      </c>
      <c r="E19" s="43">
        <v>0</v>
      </c>
      <c r="F19" s="43">
        <v>0</v>
      </c>
    </row>
    <row r="20" spans="2:6" x14ac:dyDescent="0.25">
      <c r="B20" t="str">
        <f>"change in " &amp; "Trade and other payables"</f>
        <v>change in Trade and other payables</v>
      </c>
      <c r="C20" s="47">
        <v>4.2</v>
      </c>
      <c r="D20" s="47">
        <v>-76.900000000000006</v>
      </c>
      <c r="E20" s="43">
        <f ca="1">'balance sheet'!I30-'balance sheet'!H30</f>
        <v>34.217348673545985</v>
      </c>
      <c r="F20" s="43">
        <f ca="1">'balance sheet'!J30-'balance sheet'!I30</f>
        <v>20.749219151543912</v>
      </c>
    </row>
    <row r="21" spans="2:6" x14ac:dyDescent="0.25">
      <c r="B21" t="str">
        <f>"change in " &amp; "Other liabilities"</f>
        <v>change in Other liabilities</v>
      </c>
      <c r="C21" s="47">
        <v>-12.9</v>
      </c>
      <c r="D21" s="47">
        <v>31.6</v>
      </c>
      <c r="E21" s="43">
        <f>'balance sheet'!I43-'balance sheet'!H43</f>
        <v>0</v>
      </c>
      <c r="F21" s="43">
        <f>'balance sheet'!J43-'balance sheet'!I43</f>
        <v>0</v>
      </c>
    </row>
    <row r="22" spans="2:6" x14ac:dyDescent="0.25">
      <c r="B22" t="s">
        <v>115</v>
      </c>
      <c r="C22" s="47">
        <v>-1.6</v>
      </c>
      <c r="D22" s="47">
        <v>-1</v>
      </c>
      <c r="E22" s="47">
        <v>-1</v>
      </c>
      <c r="F22" s="47">
        <v>-1</v>
      </c>
    </row>
    <row r="23" spans="2:6" x14ac:dyDescent="0.25">
      <c r="B23" t="s">
        <v>116</v>
      </c>
      <c r="C23" s="47">
        <v>-19.5</v>
      </c>
      <c r="D23" s="47">
        <v>-28.7</v>
      </c>
      <c r="E23" s="47">
        <v>-28.7</v>
      </c>
      <c r="F23" s="47">
        <v>-21.3</v>
      </c>
    </row>
    <row r="24" spans="2:6" x14ac:dyDescent="0.25">
      <c r="B24" t="s">
        <v>117</v>
      </c>
      <c r="C24" s="47">
        <v>-65.900000000000006</v>
      </c>
      <c r="D24" s="47">
        <v>-73.8</v>
      </c>
      <c r="E24" s="43">
        <f ca="1">'Profit &amp; loss'!E40</f>
        <v>-48.315086502429089</v>
      </c>
      <c r="F24" s="43">
        <f ca="1">'Profit &amp; loss'!F40</f>
        <v>-44.126613982360688</v>
      </c>
    </row>
    <row r="25" spans="2:6" x14ac:dyDescent="0.25">
      <c r="B25" t="s">
        <v>118</v>
      </c>
      <c r="C25" s="47">
        <v>-6.9</v>
      </c>
      <c r="D25" s="47">
        <v>-10</v>
      </c>
      <c r="E25" s="47">
        <f>-'debt schedule'!D13</f>
        <v>-10.592967032967033</v>
      </c>
      <c r="F25" s="47">
        <f>-'debt schedule'!E13</f>
        <v>-10.592967032967033</v>
      </c>
    </row>
    <row r="26" spans="2:6" x14ac:dyDescent="0.25">
      <c r="B26" t="s">
        <v>106</v>
      </c>
      <c r="C26" s="43">
        <v>0.7</v>
      </c>
      <c r="D26" s="43">
        <v>1.7</v>
      </c>
      <c r="E26" s="43">
        <v>0</v>
      </c>
      <c r="F26" s="43">
        <v>0</v>
      </c>
    </row>
    <row r="27" spans="2:6" x14ac:dyDescent="0.25">
      <c r="B27" s="12" t="s">
        <v>102</v>
      </c>
      <c r="C27" s="44">
        <f>SUM(C4:C26)</f>
        <v>547.1</v>
      </c>
      <c r="D27" s="44">
        <f t="shared" ref="D27:F27" si="0">SUM(D4:D26)</f>
        <v>451.69999999999993</v>
      </c>
      <c r="E27" s="44">
        <f ca="1">SUM(E4:E26)</f>
        <v>655.74032168550264</v>
      </c>
      <c r="F27" s="44">
        <f t="shared" ca="1" si="0"/>
        <v>683.87917768063983</v>
      </c>
    </row>
    <row r="28" spans="2:6" x14ac:dyDescent="0.25">
      <c r="B28" s="8"/>
      <c r="C28" s="48"/>
      <c r="D28" s="48"/>
      <c r="E28" s="48"/>
      <c r="F28" s="48"/>
    </row>
    <row r="29" spans="2:6" x14ac:dyDescent="0.25">
      <c r="B29" t="s">
        <v>119</v>
      </c>
      <c r="C29" s="63">
        <v>-445.1</v>
      </c>
      <c r="D29" s="63">
        <v>-565.4</v>
      </c>
      <c r="E29" s="48">
        <v>0</v>
      </c>
      <c r="F29" s="48">
        <v>0</v>
      </c>
    </row>
    <row r="30" spans="2:6" x14ac:dyDescent="0.25">
      <c r="B30" t="s">
        <v>120</v>
      </c>
      <c r="C30" s="63">
        <v>72.099999999999994</v>
      </c>
      <c r="D30" s="63">
        <v>55.1</v>
      </c>
      <c r="E30" s="48">
        <v>0</v>
      </c>
      <c r="F30" s="48">
        <v>0</v>
      </c>
    </row>
    <row r="31" spans="2:6" x14ac:dyDescent="0.25">
      <c r="B31" t="s">
        <v>121</v>
      </c>
      <c r="C31" s="63">
        <v>-373</v>
      </c>
      <c r="D31" s="63">
        <v>-510.3</v>
      </c>
      <c r="E31" s="48">
        <v>0</v>
      </c>
      <c r="F31" s="48">
        <v>0</v>
      </c>
    </row>
    <row r="32" spans="2:6" x14ac:dyDescent="0.25">
      <c r="B32" t="s">
        <v>122</v>
      </c>
      <c r="C32" s="63" t="s">
        <v>14</v>
      </c>
      <c r="D32" s="63">
        <v>54.5</v>
      </c>
      <c r="E32" s="48">
        <v>0</v>
      </c>
      <c r="F32" s="48">
        <v>0</v>
      </c>
    </row>
    <row r="33" spans="2:6" x14ac:dyDescent="0.25">
      <c r="B33" t="s">
        <v>123</v>
      </c>
      <c r="C33" s="63" t="s">
        <v>14</v>
      </c>
      <c r="D33" s="63">
        <v>4.7</v>
      </c>
      <c r="E33" s="48">
        <v>0</v>
      </c>
      <c r="F33" s="48">
        <v>0</v>
      </c>
    </row>
    <row r="34" spans="2:6" x14ac:dyDescent="0.25">
      <c r="B34" t="s">
        <v>124</v>
      </c>
      <c r="C34" s="63" t="s">
        <v>14</v>
      </c>
      <c r="D34" s="63">
        <v>3.2</v>
      </c>
      <c r="E34" s="48">
        <v>0</v>
      </c>
      <c r="F34" s="48">
        <v>0</v>
      </c>
    </row>
    <row r="35" spans="2:6" x14ac:dyDescent="0.25">
      <c r="B35" t="s">
        <v>125</v>
      </c>
      <c r="C35" s="63">
        <v>-0.4</v>
      </c>
      <c r="D35" s="63">
        <v>-2</v>
      </c>
      <c r="E35" s="48">
        <v>0</v>
      </c>
      <c r="F35" s="48">
        <v>0</v>
      </c>
    </row>
    <row r="36" spans="2:6" x14ac:dyDescent="0.25">
      <c r="B36" t="s">
        <v>126</v>
      </c>
      <c r="C36" s="63">
        <v>-23.9</v>
      </c>
      <c r="D36" s="63">
        <v>-22.4</v>
      </c>
      <c r="E36" s="48">
        <v>0</v>
      </c>
      <c r="F36" s="48">
        <v>0</v>
      </c>
    </row>
    <row r="37" spans="2:6" x14ac:dyDescent="0.25">
      <c r="B37" t="s">
        <v>127</v>
      </c>
      <c r="C37" s="63">
        <v>-604.5</v>
      </c>
      <c r="D37" s="63">
        <v>-49</v>
      </c>
      <c r="E37" s="48">
        <v>0</v>
      </c>
      <c r="F37" s="48">
        <v>0</v>
      </c>
    </row>
    <row r="38" spans="2:6" x14ac:dyDescent="0.25">
      <c r="B38" t="s">
        <v>128</v>
      </c>
      <c r="C38" s="63">
        <v>-0.7</v>
      </c>
      <c r="D38" s="63">
        <v>-0.8</v>
      </c>
      <c r="E38" s="48">
        <v>0</v>
      </c>
      <c r="F38" s="48">
        <v>0</v>
      </c>
    </row>
    <row r="39" spans="2:6" x14ac:dyDescent="0.25">
      <c r="B39" t="s">
        <v>129</v>
      </c>
      <c r="C39" s="63">
        <v>24.9</v>
      </c>
      <c r="D39" s="63">
        <v>19.5</v>
      </c>
      <c r="E39" s="48">
        <v>0</v>
      </c>
      <c r="F39" s="48">
        <v>0</v>
      </c>
    </row>
    <row r="40" spans="2:6" x14ac:dyDescent="0.25">
      <c r="B40" t="s">
        <v>130</v>
      </c>
      <c r="C40" s="63">
        <v>7.5</v>
      </c>
      <c r="D40" s="63">
        <v>0.1</v>
      </c>
      <c r="E40" s="48">
        <v>0</v>
      </c>
      <c r="F40" s="48">
        <v>0</v>
      </c>
    </row>
    <row r="41" spans="2:6" x14ac:dyDescent="0.25">
      <c r="B41" t="s">
        <v>179</v>
      </c>
      <c r="E41" s="6">
        <f ca="1">-'Fixed assets schedule'!E4</f>
        <v>-604.21697702921779</v>
      </c>
      <c r="F41" s="6">
        <f ca="1">-'Fixed assets schedule'!F4</f>
        <v>-616.90092120349527</v>
      </c>
    </row>
    <row r="42" spans="2:6" x14ac:dyDescent="0.25">
      <c r="C42" s="43"/>
      <c r="D42" s="43"/>
      <c r="E42" s="43"/>
      <c r="F42" s="43"/>
    </row>
    <row r="43" spans="2:6" x14ac:dyDescent="0.25">
      <c r="B43" s="12" t="s">
        <v>103</v>
      </c>
      <c r="C43" s="44">
        <f>SUM(C31:C42)</f>
        <v>-970.1</v>
      </c>
      <c r="D43" s="44">
        <f t="shared" ref="D43:F43" si="1">SUM(D31:D42)</f>
        <v>-502.49999999999989</v>
      </c>
      <c r="E43" s="44">
        <f t="shared" ca="1" si="1"/>
        <v>-604.21697702921779</v>
      </c>
      <c r="F43" s="44">
        <f t="shared" ca="1" si="1"/>
        <v>-616.90092120349527</v>
      </c>
    </row>
    <row r="45" spans="2:6" x14ac:dyDescent="0.25">
      <c r="B45" t="s">
        <v>159</v>
      </c>
      <c r="C45" s="7">
        <v>3219</v>
      </c>
      <c r="D45" s="7">
        <v>3747.2</v>
      </c>
      <c r="E45" s="6">
        <v>0</v>
      </c>
      <c r="F45">
        <v>0</v>
      </c>
    </row>
    <row r="46" spans="2:6" x14ac:dyDescent="0.25">
      <c r="B46" t="s">
        <v>160</v>
      </c>
      <c r="C46" s="7">
        <v>-2496.8000000000002</v>
      </c>
      <c r="D46" s="7">
        <v>-3269.7</v>
      </c>
      <c r="E46">
        <v>0</v>
      </c>
      <c r="F46">
        <v>0</v>
      </c>
    </row>
    <row r="47" spans="2:6" x14ac:dyDescent="0.25">
      <c r="B47" t="s">
        <v>161</v>
      </c>
      <c r="C47">
        <v>-42.6</v>
      </c>
      <c r="D47">
        <v>-61.9</v>
      </c>
      <c r="E47">
        <v>0</v>
      </c>
      <c r="F47">
        <v>0</v>
      </c>
    </row>
    <row r="48" spans="2:6" x14ac:dyDescent="0.25">
      <c r="B48" t="s">
        <v>162</v>
      </c>
      <c r="C48" t="s">
        <v>14</v>
      </c>
      <c r="D48">
        <v>-119.2</v>
      </c>
      <c r="E48">
        <v>0</v>
      </c>
      <c r="F48">
        <v>0</v>
      </c>
    </row>
    <row r="49" spans="2:6" x14ac:dyDescent="0.25">
      <c r="B49" t="s">
        <v>163</v>
      </c>
      <c r="C49" t="s">
        <v>14</v>
      </c>
      <c r="D49">
        <v>3.3</v>
      </c>
      <c r="E49">
        <v>0</v>
      </c>
      <c r="F49">
        <v>0</v>
      </c>
    </row>
    <row r="50" spans="2:6" x14ac:dyDescent="0.25">
      <c r="B50" t="s">
        <v>164</v>
      </c>
      <c r="C50">
        <v>-157.69999999999999</v>
      </c>
      <c r="D50">
        <v>-176.8</v>
      </c>
      <c r="E50" s="37">
        <f ca="1">'retained earnings schedule'!D11</f>
        <v>-126.3678847817941</v>
      </c>
      <c r="F50" s="37">
        <f ca="1">'retained earnings schedule'!E11</f>
        <v>-115.41295432128247</v>
      </c>
    </row>
    <row r="51" spans="2:6" x14ac:dyDescent="0.25">
      <c r="B51" t="s">
        <v>165</v>
      </c>
      <c r="C51">
        <v>-32.6</v>
      </c>
      <c r="D51">
        <v>-43.5</v>
      </c>
      <c r="E51" s="6">
        <f ca="1">'non-controlling interests '!D6</f>
        <v>-31.091645859774001</v>
      </c>
      <c r="F51" s="6">
        <f ca="1">'non-controlling interests '!E6</f>
        <v>-28.396286838098344</v>
      </c>
    </row>
    <row r="52" spans="2:6" x14ac:dyDescent="0.25">
      <c r="B52" t="s">
        <v>166</v>
      </c>
      <c r="C52">
        <v>-0.2</v>
      </c>
      <c r="D52">
        <v>-0.2</v>
      </c>
      <c r="E52">
        <v>0</v>
      </c>
      <c r="F52">
        <v>0</v>
      </c>
    </row>
    <row r="53" spans="2:6" x14ac:dyDescent="0.25">
      <c r="B53" t="s">
        <v>167</v>
      </c>
      <c r="C53">
        <v>-30.4</v>
      </c>
      <c r="D53">
        <v>-53</v>
      </c>
      <c r="E53" s="37">
        <f>-('debt schedule'!D7)</f>
        <v>-59.887795857988174</v>
      </c>
      <c r="F53" s="37">
        <f>-('debt schedule'!E7)</f>
        <v>-59.887795857988174</v>
      </c>
    </row>
    <row r="54" spans="2:6" x14ac:dyDescent="0.25">
      <c r="B54" s="12" t="s">
        <v>104</v>
      </c>
      <c r="C54" s="44">
        <f>SUM(C45:C53)</f>
        <v>458.69999999999987</v>
      </c>
      <c r="D54" s="44">
        <f>SUM(D45:D53)</f>
        <v>26.200000000000031</v>
      </c>
      <c r="E54" s="44">
        <f t="shared" ref="E54:F54" ca="1" si="2">SUM(E45:E53)</f>
        <v>-217.34732649955629</v>
      </c>
      <c r="F54" s="44">
        <f t="shared" ca="1" si="2"/>
        <v>-203.69703701736898</v>
      </c>
    </row>
    <row r="55" spans="2:6" x14ac:dyDescent="0.25">
      <c r="B55" s="12" t="s">
        <v>177</v>
      </c>
      <c r="C55" s="44">
        <v>856.9</v>
      </c>
      <c r="D55" s="44">
        <v>892.4</v>
      </c>
      <c r="E55" s="44">
        <f>'balance sheet'!H6</f>
        <v>868.4</v>
      </c>
      <c r="F55" s="44">
        <f ca="1">'balance sheet'!I6</f>
        <v>702.57601815672854</v>
      </c>
    </row>
    <row r="56" spans="2:6" x14ac:dyDescent="0.25">
      <c r="B56" s="30" t="s">
        <v>105</v>
      </c>
      <c r="C56" s="45">
        <f>SUM(C55,C54,C43,C27)</f>
        <v>892.59999999999991</v>
      </c>
      <c r="D56" s="45">
        <f t="shared" ref="D56:F56" si="3">SUM(D55,D54,D43,D27)</f>
        <v>867.80000000000007</v>
      </c>
      <c r="E56" s="45">
        <f t="shared" ca="1" si="3"/>
        <v>702.57601815672854</v>
      </c>
      <c r="F56" s="45">
        <f t="shared" ca="1" si="3"/>
        <v>565.85723761650411</v>
      </c>
    </row>
  </sheetData>
  <mergeCells count="1">
    <mergeCell ref="C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C55E-62D4-4777-B758-85DCA86509A0}">
  <dimension ref="B3:J59"/>
  <sheetViews>
    <sheetView topLeftCell="A49" zoomScale="98" zoomScaleNormal="98" workbookViewId="0">
      <selection activeCell="H39" sqref="H39"/>
    </sheetView>
  </sheetViews>
  <sheetFormatPr defaultColWidth="8.7109375" defaultRowHeight="15" x14ac:dyDescent="0.25"/>
  <cols>
    <col min="2" max="2" width="48.7109375" bestFit="1" customWidth="1"/>
    <col min="7" max="8" width="10.7109375" bestFit="1" customWidth="1"/>
    <col min="9" max="9" width="18.140625" bestFit="1" customWidth="1"/>
    <col min="10" max="10" width="9.5703125" bestFit="1" customWidth="1"/>
  </cols>
  <sheetData>
    <row r="3" spans="2:10" x14ac:dyDescent="0.25">
      <c r="B3" s="24" t="s">
        <v>10</v>
      </c>
      <c r="C3" s="24"/>
      <c r="D3" s="23"/>
      <c r="E3" s="23"/>
      <c r="F3" s="23"/>
      <c r="G3" s="23"/>
      <c r="H3" s="23"/>
      <c r="I3" s="23"/>
      <c r="J3" s="23"/>
    </row>
    <row r="4" spans="2:10" x14ac:dyDescent="0.25">
      <c r="B4" s="24" t="s">
        <v>64</v>
      </c>
      <c r="C4" s="23"/>
      <c r="D4" s="23"/>
      <c r="E4" s="23"/>
      <c r="F4" s="23"/>
      <c r="G4" s="24">
        <v>2024</v>
      </c>
      <c r="H4" s="24">
        <v>2025</v>
      </c>
      <c r="I4" s="24">
        <f>H4+1</f>
        <v>2026</v>
      </c>
      <c r="J4" s="24">
        <f>I4+1</f>
        <v>2027</v>
      </c>
    </row>
    <row r="5" spans="2:10" x14ac:dyDescent="0.25">
      <c r="B5" t="s">
        <v>2</v>
      </c>
    </row>
    <row r="6" spans="2:10" x14ac:dyDescent="0.25">
      <c r="B6" s="5" t="s">
        <v>39</v>
      </c>
      <c r="G6">
        <f>INDEX('Balance Sheet - Data'!$C$3:$D$57,MATCH('balance sheet'!$B6,'Balance Sheet - Data'!$B$3:$B$57,0),MATCH('balance sheet'!G$4,'Balance Sheet - Data'!$C$2:$D$2,0))</f>
        <v>892.4</v>
      </c>
      <c r="H6" s="37">
        <f>INDEX('Balance Sheet - Data'!$C$3:$D$57,MATCH('balance sheet'!$B6,'Balance Sheet - Data'!$B$3:$B$57,0),MATCH('balance sheet'!H$4,'Balance Sheet - Data'!$C$2:$D$2,0))</f>
        <v>868.4</v>
      </c>
      <c r="I6" s="37">
        <f ca="1">'cash Flow'!E56</f>
        <v>702.57601815672854</v>
      </c>
      <c r="J6" s="37">
        <f ca="1">'cash Flow'!F56</f>
        <v>565.85723761650411</v>
      </c>
    </row>
    <row r="7" spans="2:10" x14ac:dyDescent="0.25">
      <c r="B7" s="5" t="s">
        <v>40</v>
      </c>
      <c r="G7">
        <f>INDEX('Balance Sheet - Data'!$C$3:$D$57,MATCH('balance sheet'!$B7,'Balance Sheet - Data'!$B$3:$B$57,0),MATCH('balance sheet'!G$4,'Balance Sheet - Data'!$C$2:$D$2,0))</f>
        <v>725.7</v>
      </c>
      <c r="H7">
        <f>INDEX('Balance Sheet - Data'!$C$3:$D$57,MATCH('balance sheet'!$B7,'Balance Sheet - Data'!$B$3:$B$57,0),MATCH('balance sheet'!H$4,'Balance Sheet - Data'!$C$2:$D$2,0))</f>
        <v>774.3</v>
      </c>
      <c r="I7" s="37">
        <f ca="1">H7*(1+'Profit &amp; loss'!E$46)</f>
        <v>802.06618431977211</v>
      </c>
      <c r="J7" s="37">
        <f ca="1">I7*(1+'Profit &amp; loss'!F$46)</f>
        <v>818.90345154785894</v>
      </c>
    </row>
    <row r="8" spans="2:10" x14ac:dyDescent="0.25">
      <c r="B8" s="5" t="s">
        <v>38</v>
      </c>
      <c r="G8">
        <f>INDEX('Balance Sheet - Data'!$C$3:$D$57,MATCH('balance sheet'!$B8,'Balance Sheet - Data'!$B$3:$B$57,0),MATCH('balance sheet'!G$4,'Balance Sheet - Data'!$C$2:$D$2,0))</f>
        <v>94</v>
      </c>
      <c r="H8">
        <f>INDEX('Balance Sheet - Data'!$C$3:$D$57,MATCH('balance sheet'!$B8,'Balance Sheet - Data'!$B$3:$B$57,0),MATCH('balance sheet'!H$4,'Balance Sheet - Data'!$C$2:$D$2,0))</f>
        <v>90.8</v>
      </c>
      <c r="I8" s="37">
        <f ca="1">H8*(1+'Profit &amp; loss'!E$46)</f>
        <v>94.056062942316046</v>
      </c>
      <c r="J8" s="37">
        <f ca="1">I8*(1+'Profit &amp; loss'!F$46)</f>
        <v>96.030522278891382</v>
      </c>
    </row>
    <row r="9" spans="2:10" x14ac:dyDescent="0.25">
      <c r="B9" s="5" t="s">
        <v>3</v>
      </c>
      <c r="G9">
        <f>INDEX('Balance Sheet - Data'!$C$3:$D$57,MATCH('balance sheet'!$B9,'Balance Sheet - Data'!$B$3:$B$57,0),MATCH('balance sheet'!G$4,'Balance Sheet - Data'!$C$2:$D$2,0))</f>
        <v>158</v>
      </c>
      <c r="H9">
        <f>INDEX('Balance Sheet - Data'!$C$3:$D$57,MATCH('balance sheet'!$B9,'Balance Sheet - Data'!$B$3:$B$57,0),MATCH('balance sheet'!H$4,'Balance Sheet - Data'!$C$2:$D$2,0))</f>
        <v>151.30000000000001</v>
      </c>
      <c r="I9" s="37">
        <f ca="1">H9*(1+'Profit &amp; loss'!E$46)</f>
        <v>156.72557624639228</v>
      </c>
      <c r="J9" s="37">
        <f ca="1">I9*(1+'Profit &amp; loss'!F$46)</f>
        <v>160.01561696912191</v>
      </c>
    </row>
    <row r="10" spans="2:10" x14ac:dyDescent="0.25">
      <c r="B10" s="5" t="s">
        <v>41</v>
      </c>
      <c r="G10">
        <f>INDEX('Balance Sheet - Data'!$C$3:$D$57,MATCH('balance sheet'!$B10,'Balance Sheet - Data'!$B$3:$B$57,0),MATCH('balance sheet'!G$4,'Balance Sheet - Data'!$C$2:$D$2,0))</f>
        <v>29</v>
      </c>
      <c r="H10">
        <f>INDEX('Balance Sheet - Data'!$C$3:$D$57,MATCH('balance sheet'!$B10,'Balance Sheet - Data'!$B$3:$B$57,0),MATCH('balance sheet'!H$4,'Balance Sheet - Data'!$C$2:$D$2,0))</f>
        <v>0</v>
      </c>
    </row>
    <row r="11" spans="2:10" x14ac:dyDescent="0.25">
      <c r="B11" s="12" t="s">
        <v>4</v>
      </c>
      <c r="C11" s="12"/>
      <c r="D11" s="12"/>
      <c r="E11" s="12"/>
      <c r="F11" s="12"/>
      <c r="G11" s="12">
        <f>SUM(G6:G10)</f>
        <v>1899.1</v>
      </c>
      <c r="H11" s="12">
        <f>SUM(H6:H10)</f>
        <v>1884.7999999999997</v>
      </c>
      <c r="I11" s="13">
        <f ca="1">SUM(I6:I10)</f>
        <v>1755.4238416652088</v>
      </c>
      <c r="J11" s="13">
        <f ca="1">SUM(J6:J10)</f>
        <v>1640.8068284123765</v>
      </c>
    </row>
    <row r="13" spans="2:10" x14ac:dyDescent="0.25">
      <c r="B13" t="s">
        <v>5</v>
      </c>
    </row>
    <row r="14" spans="2:10" x14ac:dyDescent="0.25">
      <c r="B14" t="s">
        <v>65</v>
      </c>
      <c r="G14">
        <f>INDEX('Balance Sheet - Data'!$C$3:$D$57,MATCH('balance sheet'!$B14,'Balance Sheet - Data'!$B$3:$B$57,0),MATCH('balance sheet'!G$4,'Balance Sheet - Data'!$C$2:$D$2,0))</f>
        <v>12.9</v>
      </c>
      <c r="H14">
        <f>INDEX('Balance Sheet - Data'!$C$3:$D$57,MATCH('balance sheet'!$B14,'Balance Sheet - Data'!$B$3:$B$57,0),MATCH('balance sheet'!H$4,'Balance Sheet - Data'!$C$2:$D$2,0))</f>
        <v>14.3</v>
      </c>
      <c r="I14" s="37">
        <v>14.3</v>
      </c>
      <c r="J14" s="37">
        <v>14.3</v>
      </c>
    </row>
    <row r="15" spans="2:10" x14ac:dyDescent="0.25">
      <c r="B15" t="s">
        <v>42</v>
      </c>
      <c r="G15">
        <f>INDEX('Balance Sheet - Data'!$C$3:$D$57,MATCH('balance sheet'!$B15,'Balance Sheet - Data'!$B$3:$B$57,0),MATCH('balance sheet'!G$4,'Balance Sheet - Data'!$C$2:$D$2,0))</f>
        <v>29.1</v>
      </c>
      <c r="H15">
        <f>INDEX('Balance Sheet - Data'!$C$3:$D$57,MATCH('balance sheet'!$B15,'Balance Sheet - Data'!$B$3:$B$57,0),MATCH('balance sheet'!H$4,'Balance Sheet - Data'!$C$2:$D$2,0))</f>
        <v>27.6</v>
      </c>
      <c r="I15" s="37">
        <v>27.6</v>
      </c>
      <c r="J15" s="37">
        <v>27.6</v>
      </c>
    </row>
    <row r="16" spans="2:10" x14ac:dyDescent="0.25">
      <c r="B16" t="s">
        <v>97</v>
      </c>
      <c r="G16">
        <f>INDEX('Balance Sheet - Data'!$C$3:$D$57,MATCH('balance sheet'!$B16,'Balance Sheet - Data'!$B$3:$B$57,0),MATCH('balance sheet'!G$4,'Balance Sheet - Data'!$C$2:$D$2,0))</f>
        <v>127.7</v>
      </c>
      <c r="H16">
        <f>INDEX('Balance Sheet - Data'!$C$3:$D$57,MATCH('balance sheet'!$B16,'Balance Sheet - Data'!$B$3:$B$57,0),MATCH('balance sheet'!H$4,'Balance Sheet - Data'!$C$2:$D$2,0))</f>
        <v>268.89999999999998</v>
      </c>
      <c r="I16" s="37">
        <v>268.89999999999998</v>
      </c>
      <c r="J16" s="37">
        <v>268.89999999999998</v>
      </c>
    </row>
    <row r="17" spans="2:10" x14ac:dyDescent="0.25">
      <c r="B17" t="s">
        <v>66</v>
      </c>
      <c r="G17">
        <f>INDEX('Balance Sheet - Data'!$C$3:$D$57,MATCH('balance sheet'!$B17,'Balance Sheet - Data'!$B$3:$B$57,0),MATCH('balance sheet'!G$4,'Balance Sheet - Data'!$C$2:$D$2,0))</f>
        <v>2129.6</v>
      </c>
      <c r="H17">
        <f>INDEX('Balance Sheet - Data'!$C$3:$D$57,MATCH('balance sheet'!$B17,'Balance Sheet - Data'!$B$3:$B$57,0),MATCH('balance sheet'!H$4,'Balance Sheet - Data'!$C$2:$D$2,0))</f>
        <v>2339.3000000000002</v>
      </c>
      <c r="I17" s="1">
        <f ca="1">'Fixed assets schedule'!E6</f>
        <v>2533.128885368812</v>
      </c>
      <c r="J17" s="1">
        <f ca="1">'Fixed assets schedule'!F6</f>
        <v>2705.6379247288678</v>
      </c>
    </row>
    <row r="18" spans="2:10" x14ac:dyDescent="0.25">
      <c r="B18" t="s">
        <v>67</v>
      </c>
      <c r="G18">
        <f>INDEX('Balance Sheet - Data'!$C$3:$D$57,MATCH('balance sheet'!$B18,'Balance Sheet - Data'!$B$3:$B$57,0),MATCH('balance sheet'!G$4,'Balance Sheet - Data'!$C$2:$D$2,0))</f>
        <v>557.79999999999995</v>
      </c>
      <c r="H18">
        <f>INDEX('Balance Sheet - Data'!$C$3:$D$57,MATCH('balance sheet'!$B18,'Balance Sheet - Data'!$B$3:$B$57,0),MATCH('balance sheet'!H$4,'Balance Sheet - Data'!$C$2:$D$2,0))</f>
        <v>557.29999999999995</v>
      </c>
      <c r="I18" s="37">
        <f>H18+('Profit &amp; loss'!E32-'Fixed assets schedule'!E5)</f>
        <v>534.24574638353272</v>
      </c>
      <c r="J18" s="37">
        <f ca="1">I18+('Profit &amp; loss'!F32-'Fixed assets schedule'!F5)</f>
        <v>508.48681071166669</v>
      </c>
    </row>
    <row r="19" spans="2:10" x14ac:dyDescent="0.25">
      <c r="B19" t="s">
        <v>43</v>
      </c>
      <c r="G19">
        <f>INDEX('Balance Sheet - Data'!$C$3:$D$57,MATCH('balance sheet'!$B19,'Balance Sheet - Data'!$B$3:$B$57,0),MATCH('balance sheet'!G$4,'Balance Sheet - Data'!$C$2:$D$2,0))</f>
        <v>955.5</v>
      </c>
      <c r="H19">
        <f>INDEX('Balance Sheet - Data'!$C$3:$D$57,MATCH('balance sheet'!$B19,'Balance Sheet - Data'!$B$3:$B$57,0),MATCH('balance sheet'!H$4,'Balance Sheet - Data'!$C$2:$D$2,0))</f>
        <v>977.1</v>
      </c>
      <c r="I19" s="37">
        <v>977.1</v>
      </c>
      <c r="J19" s="37">
        <v>977.1</v>
      </c>
    </row>
    <row r="20" spans="2:10" x14ac:dyDescent="0.25">
      <c r="B20" t="s">
        <v>68</v>
      </c>
      <c r="G20">
        <f>INDEX('Balance Sheet - Data'!$C$3:$D$57,MATCH('balance sheet'!$B20,'Balance Sheet - Data'!$B$3:$B$57,0),MATCH('balance sheet'!G$4,'Balance Sheet - Data'!$C$2:$D$2,0))</f>
        <v>69.2</v>
      </c>
      <c r="H20">
        <f>INDEX('Balance Sheet - Data'!$C$3:$D$57,MATCH('balance sheet'!$B20,'Balance Sheet - Data'!$B$3:$B$57,0),MATCH('balance sheet'!H$4,'Balance Sheet - Data'!$C$2:$D$2,0))</f>
        <v>69.599999999999994</v>
      </c>
      <c r="I20" s="37">
        <v>69.599999999999994</v>
      </c>
      <c r="J20" s="37">
        <v>69.599999999999994</v>
      </c>
    </row>
    <row r="21" spans="2:10" x14ac:dyDescent="0.25">
      <c r="B21" s="12" t="s">
        <v>44</v>
      </c>
      <c r="C21" s="29"/>
      <c r="D21" s="29"/>
      <c r="E21" s="29"/>
      <c r="F21" s="29"/>
      <c r="G21" s="29">
        <f>SUM(G14:G20)</f>
        <v>3881.7999999999993</v>
      </c>
      <c r="H21" s="29">
        <f>SUM(H14:H20)</f>
        <v>4254.1000000000013</v>
      </c>
      <c r="I21" s="57">
        <f t="shared" ref="I21:J21" ca="1" si="0">SUM(I14:I20)</f>
        <v>4424.8746317523455</v>
      </c>
      <c r="J21" s="57">
        <f t="shared" ca="1" si="0"/>
        <v>4571.624735440535</v>
      </c>
    </row>
    <row r="22" spans="2:10" x14ac:dyDescent="0.25">
      <c r="B22" s="8"/>
    </row>
    <row r="23" spans="2:10" x14ac:dyDescent="0.25">
      <c r="B23" s="28" t="s">
        <v>6</v>
      </c>
      <c r="C23" s="28"/>
      <c r="D23" s="28"/>
      <c r="E23" s="28"/>
      <c r="F23" s="28"/>
      <c r="G23" s="28">
        <f>SUM(G21,G11)</f>
        <v>5780.9</v>
      </c>
      <c r="H23" s="28">
        <f>SUM(H21,H11)</f>
        <v>6138.9000000000015</v>
      </c>
      <c r="I23" s="58">
        <f ca="1">SUM(I21,I11)</f>
        <v>6180.2984734175543</v>
      </c>
      <c r="J23" s="58">
        <f t="shared" ref="J23" ca="1" si="1">SUM(J21,J11)</f>
        <v>6212.4315638529115</v>
      </c>
    </row>
    <row r="24" spans="2:10" x14ac:dyDescent="0.25">
      <c r="B24" s="8"/>
    </row>
    <row r="25" spans="2:10" x14ac:dyDescent="0.25">
      <c r="B25" s="8"/>
    </row>
    <row r="26" spans="2:10" x14ac:dyDescent="0.25">
      <c r="B26" t="s">
        <v>45</v>
      </c>
    </row>
    <row r="27" spans="2:10" x14ac:dyDescent="0.25">
      <c r="B27" s="5" t="s">
        <v>46</v>
      </c>
      <c r="G27">
        <f>INDEX('Balance Sheet - Data'!$C$3:$D$57,MATCH('balance sheet'!$B27,'Balance Sheet - Data'!$B$3:$B$57,0),MATCH('balance sheet'!G$4,'Balance Sheet - Data'!$C$2:$D$2,0))</f>
        <v>590.5</v>
      </c>
      <c r="H27">
        <f>INDEX('Balance Sheet - Data'!$C$3:$D$57,MATCH('balance sheet'!$B27,'Balance Sheet - Data'!$B$3:$B$57,0),MATCH('balance sheet'!H$4,'Balance Sheet - Data'!$C$2:$D$2,0))</f>
        <v>387.4</v>
      </c>
      <c r="I27" s="37">
        <v>387.4</v>
      </c>
      <c r="J27" s="37">
        <v>387.4</v>
      </c>
    </row>
    <row r="28" spans="2:10" x14ac:dyDescent="0.25">
      <c r="B28" s="5" t="s">
        <v>69</v>
      </c>
      <c r="G28">
        <f>INDEX('Balance Sheet - Data'!$C$3:$D$57,MATCH('balance sheet'!$B28,'Balance Sheet - Data'!$B$3:$B$57,0),MATCH('balance sheet'!G$4,'Balance Sheet - Data'!$C$2:$D$2,0))</f>
        <v>4.7</v>
      </c>
      <c r="H28">
        <f>INDEX('Balance Sheet - Data'!$C$3:$D$57,MATCH('balance sheet'!$B28,'Balance Sheet - Data'!$B$3:$B$57,0),MATCH('balance sheet'!H$4,'Balance Sheet - Data'!$C$2:$D$2,0))</f>
        <v>5.3</v>
      </c>
      <c r="I28" s="37">
        <v>5.3</v>
      </c>
      <c r="J28" s="37">
        <v>5.3</v>
      </c>
    </row>
    <row r="29" spans="2:10" x14ac:dyDescent="0.25">
      <c r="B29" s="5" t="s">
        <v>70</v>
      </c>
      <c r="G29">
        <f>INDEX('Balance Sheet - Data'!$C$3:$D$57,MATCH('balance sheet'!$B29,'Balance Sheet - Data'!$B$3:$B$57,0),MATCH('balance sheet'!G$4,'Balance Sheet - Data'!$C$2:$D$2,0))</f>
        <v>66.099999999999994</v>
      </c>
      <c r="H29">
        <f>INDEX('Balance Sheet - Data'!$C$3:$D$57,MATCH('balance sheet'!$B29,'Balance Sheet - Data'!$B$3:$B$57,0),MATCH('balance sheet'!H$4,'Balance Sheet - Data'!$C$2:$D$2,0))</f>
        <v>60.1</v>
      </c>
      <c r="I29" s="37">
        <v>60.1</v>
      </c>
      <c r="J29" s="37">
        <v>60.1</v>
      </c>
    </row>
    <row r="30" spans="2:10" x14ac:dyDescent="0.25">
      <c r="B30" s="5" t="s">
        <v>71</v>
      </c>
      <c r="G30">
        <f>INDEX('Balance Sheet - Data'!$C$3:$D$57,MATCH('balance sheet'!$B30,'Balance Sheet - Data'!$B$3:$B$57,0),MATCH('balance sheet'!G$4,'Balance Sheet - Data'!$C$2:$D$2,0))</f>
        <v>1001.1</v>
      </c>
      <c r="H30">
        <f>INDEX('Balance Sheet - Data'!$C$3:$D$57,MATCH('balance sheet'!$B30,'Balance Sheet - Data'!$B$3:$B$57,0),MATCH('balance sheet'!H$4,'Balance Sheet - Data'!$C$2:$D$2,0))</f>
        <v>954.2</v>
      </c>
      <c r="I30" s="37">
        <f ca="1">H30*(1+'Profit &amp; loss'!E$46)</f>
        <v>988.41734867354603</v>
      </c>
      <c r="J30" s="37">
        <f ca="1">I30*(1+'Profit &amp; loss'!F$46)</f>
        <v>1009.1665678250899</v>
      </c>
    </row>
    <row r="31" spans="2:10" x14ac:dyDescent="0.25">
      <c r="B31" s="5" t="s">
        <v>72</v>
      </c>
      <c r="G31">
        <f>INDEX('Balance Sheet - Data'!$C$3:$D$57,MATCH('balance sheet'!$B31,'Balance Sheet - Data'!$B$3:$B$57,0),MATCH('balance sheet'!G$4,'Balance Sheet - Data'!$C$2:$D$2,0))</f>
        <v>1.1000000000000001</v>
      </c>
      <c r="H31">
        <f>INDEX('Balance Sheet - Data'!$C$3:$D$57,MATCH('balance sheet'!$B31,'Balance Sheet - Data'!$B$3:$B$57,0),MATCH('balance sheet'!H$4,'Balance Sheet - Data'!$C$2:$D$2,0))</f>
        <v>0.7</v>
      </c>
      <c r="I31" s="37">
        <v>0.7</v>
      </c>
      <c r="J31" s="37">
        <v>0.7</v>
      </c>
    </row>
    <row r="32" spans="2:10" x14ac:dyDescent="0.25">
      <c r="B32" s="5" t="s">
        <v>73</v>
      </c>
      <c r="G32">
        <f>INDEX('Balance Sheet - Data'!$C$3:$D$57,MATCH('balance sheet'!$B32,'Balance Sheet - Data'!$B$3:$B$57,0),MATCH('balance sheet'!G$4,'Balance Sheet - Data'!$C$2:$D$2,0))</f>
        <v>19.399999999999999</v>
      </c>
      <c r="H32">
        <f>INDEX('Balance Sheet - Data'!$C$3:$D$57,MATCH('balance sheet'!$B32,'Balance Sheet - Data'!$B$3:$B$57,0),MATCH('balance sheet'!H$4,'Balance Sheet - Data'!$C$2:$D$2,0))</f>
        <v>19.399999999999999</v>
      </c>
      <c r="I32" s="37">
        <v>19.399999999999999</v>
      </c>
      <c r="J32" s="37">
        <v>19.399999999999999</v>
      </c>
    </row>
    <row r="33" spans="2:10" x14ac:dyDescent="0.25">
      <c r="B33" s="5" t="s">
        <v>74</v>
      </c>
      <c r="G33">
        <f>INDEX('Balance Sheet - Data'!$C$3:$D$57,MATCH('balance sheet'!$B33,'Balance Sheet - Data'!$B$3:$B$57,0),MATCH('balance sheet'!G$4,'Balance Sheet - Data'!$C$2:$D$2,0))</f>
        <v>45</v>
      </c>
      <c r="H33">
        <f>INDEX('Balance Sheet - Data'!$C$3:$D$57,MATCH('balance sheet'!$B33,'Balance Sheet - Data'!$B$3:$B$57,0),MATCH('balance sheet'!H$4,'Balance Sheet - Data'!$C$2:$D$2,0))</f>
        <v>50</v>
      </c>
      <c r="I33" s="37">
        <f>H33+'cash Flow'!E23</f>
        <v>21.3</v>
      </c>
      <c r="J33" s="37">
        <f>I33+'cash Flow'!F23</f>
        <v>0</v>
      </c>
    </row>
    <row r="34" spans="2:10" x14ac:dyDescent="0.25">
      <c r="B34" s="5" t="s">
        <v>75</v>
      </c>
      <c r="G34">
        <f>INDEX('Balance Sheet - Data'!$C$3:$D$57,MATCH('balance sheet'!$B34,'Balance Sheet - Data'!$B$3:$B$57,0),MATCH('balance sheet'!G$4,'Balance Sheet - Data'!$C$2:$D$2,0))</f>
        <v>72.8</v>
      </c>
      <c r="H34">
        <f>INDEX('Balance Sheet - Data'!$C$3:$D$57,MATCH('balance sheet'!$B34,'Balance Sheet - Data'!$B$3:$B$57,0),MATCH('balance sheet'!H$4,'Balance Sheet - Data'!$C$2:$D$2,0))</f>
        <v>60</v>
      </c>
      <c r="I34" s="37">
        <v>60</v>
      </c>
      <c r="J34" s="37">
        <v>60</v>
      </c>
    </row>
    <row r="35" spans="2:10" x14ac:dyDescent="0.25">
      <c r="B35" s="12" t="s">
        <v>7</v>
      </c>
      <c r="C35" s="12"/>
      <c r="D35" s="12"/>
      <c r="E35" s="12"/>
      <c r="F35" s="12"/>
      <c r="G35" s="12">
        <f>SUM(G27:G34)</f>
        <v>1800.7</v>
      </c>
      <c r="H35" s="12">
        <f>SUM(H27:H34)</f>
        <v>1537.1000000000001</v>
      </c>
      <c r="I35" s="12">
        <f t="shared" ref="I35:J35" ca="1" si="2">SUM(I27:I34)</f>
        <v>1542.6173486735461</v>
      </c>
      <c r="J35" s="12">
        <f t="shared" ca="1" si="2"/>
        <v>1542.06656782509</v>
      </c>
    </row>
    <row r="36" spans="2:10" x14ac:dyDescent="0.25">
      <c r="B36" s="8"/>
    </row>
    <row r="37" spans="2:10" x14ac:dyDescent="0.25">
      <c r="B37" s="5" t="s">
        <v>47</v>
      </c>
    </row>
    <row r="38" spans="2:10" x14ac:dyDescent="0.25">
      <c r="B38" s="5" t="s">
        <v>85</v>
      </c>
      <c r="G38">
        <f>INDEX('Balance Sheet - Data'!$C$3:$D$57,MATCH('balance sheet'!$B38,'Balance Sheet - Data'!$B$3:$B$57,0),MATCH('balance sheet'!G$4,'Balance Sheet - Data'!$C$2:$D$2,0))</f>
        <v>491.1</v>
      </c>
      <c r="H38">
        <f>INDEX('Balance Sheet - Data'!$C$3:$D$57,MATCH('balance sheet'!$B$38,'Balance Sheet - Data'!$B$3:$B$57,0),MATCH('balance sheet'!$H$4,'Balance Sheet - Data'!$C$2:$D$2,0))</f>
        <v>1184.8</v>
      </c>
      <c r="I38">
        <f>INDEX('Balance Sheet - Data'!$C$3:$D$57,MATCH('balance sheet'!$B$38,'Balance Sheet - Data'!$B$3:$B$57,0),MATCH('balance sheet'!$H$4,'Balance Sheet - Data'!$C$2:$D$2,0))</f>
        <v>1184.8</v>
      </c>
      <c r="J38">
        <f>INDEX('Balance Sheet - Data'!$C$3:$D$57,MATCH('balance sheet'!$B$38,'Balance Sheet - Data'!$B$3:$B$57,0),MATCH('balance sheet'!$H$4,'Balance Sheet - Data'!$C$2:$D$2,0))</f>
        <v>1184.8</v>
      </c>
    </row>
    <row r="39" spans="2:10" x14ac:dyDescent="0.25">
      <c r="B39" s="5" t="s">
        <v>86</v>
      </c>
      <c r="G39">
        <f>INDEX('Balance Sheet - Data'!$C$3:$D$57,MATCH('balance sheet'!$B39,'Balance Sheet - Data'!$B$3:$B$57,0),MATCH('balance sheet'!G$4,'Balance Sheet - Data'!$C$2:$D$2,0))</f>
        <v>24.3</v>
      </c>
      <c r="H39">
        <f>INDEX('Balance Sheet - Data'!$C$3:$D$57,MATCH('balance sheet'!$B39,'Balance Sheet - Data'!$B$3:$B$57,0),MATCH('balance sheet'!H$4,'Balance Sheet - Data'!$C$2:$D$2,0))</f>
        <v>21</v>
      </c>
      <c r="I39" s="37">
        <v>21</v>
      </c>
      <c r="J39" s="37">
        <v>21</v>
      </c>
    </row>
    <row r="40" spans="2:10" x14ac:dyDescent="0.25">
      <c r="B40" s="5" t="s">
        <v>87</v>
      </c>
      <c r="G40">
        <f>INDEX('Balance Sheet - Data'!$C$3:$D$57,MATCH('balance sheet'!$B40,'Balance Sheet - Data'!$B$3:$B$57,0),MATCH('balance sheet'!G$4,'Balance Sheet - Data'!$C$2:$D$2,0))</f>
        <v>177.9</v>
      </c>
      <c r="H40">
        <f>INDEX('Balance Sheet - Data'!$C$3:$D$57,MATCH('balance sheet'!$B40,'Balance Sheet - Data'!$B$3:$B$57,0),MATCH('balance sheet'!H$4,'Balance Sheet - Data'!$C$2:$D$2,0))</f>
        <v>162.9</v>
      </c>
      <c r="I40" s="37">
        <v>162.9</v>
      </c>
      <c r="J40" s="37">
        <v>162.9</v>
      </c>
    </row>
    <row r="41" spans="2:10" x14ac:dyDescent="0.25">
      <c r="B41" s="5" t="s">
        <v>88</v>
      </c>
      <c r="G41">
        <f>INDEX('Balance Sheet - Data'!$C$3:$D$57,MATCH('balance sheet'!$B41,'Balance Sheet - Data'!$B$3:$B$57,0),MATCH('balance sheet'!G$4,'Balance Sheet - Data'!$C$2:$D$2,0))</f>
        <v>3.7</v>
      </c>
      <c r="H41">
        <f>INDEX('Balance Sheet - Data'!$C$3:$D$57,MATCH('balance sheet'!$B41,'Balance Sheet - Data'!$B$3:$B$57,0),MATCH('balance sheet'!H$4,'Balance Sheet - Data'!$C$2:$D$2,0))</f>
        <v>2.8</v>
      </c>
      <c r="I41" s="37">
        <v>2.8</v>
      </c>
      <c r="J41" s="37">
        <v>2.8</v>
      </c>
    </row>
    <row r="42" spans="2:10" x14ac:dyDescent="0.25">
      <c r="B42" s="5" t="s">
        <v>76</v>
      </c>
      <c r="G42">
        <f>INDEX('Balance Sheet - Data'!$C$3:$D$57,MATCH('balance sheet'!$B42,'Balance Sheet - Data'!$B$3:$B$57,0),MATCH('balance sheet'!G$4,'Balance Sheet - Data'!$C$2:$D$2,0))</f>
        <v>17.100000000000001</v>
      </c>
      <c r="H42">
        <f>INDEX('Balance Sheet - Data'!$C$3:$D$57,MATCH('balance sheet'!$B42,'Balance Sheet - Data'!$B$3:$B$57,0),MATCH('balance sheet'!H$4,'Balance Sheet - Data'!$C$2:$D$2,0))</f>
        <v>18.5</v>
      </c>
      <c r="I42">
        <f>H42+'cash Flow'!E22</f>
        <v>17.5</v>
      </c>
      <c r="J42">
        <f>I42+'cash Flow'!F22</f>
        <v>16.5</v>
      </c>
    </row>
    <row r="43" spans="2:10" x14ac:dyDescent="0.25">
      <c r="B43" s="5" t="s">
        <v>77</v>
      </c>
      <c r="G43">
        <f>INDEX('Balance Sheet - Data'!$C$3:$D$57,MATCH('balance sheet'!$B43,'Balance Sheet - Data'!$B$3:$B$57,0),MATCH('balance sheet'!G$4,'Balance Sheet - Data'!$C$2:$D$2,0))</f>
        <v>58.1</v>
      </c>
      <c r="H43">
        <f>INDEX('Balance Sheet - Data'!$C$3:$D$57,MATCH('balance sheet'!$B43,'Balance Sheet - Data'!$B$3:$B$57,0),MATCH('balance sheet'!H$4,'Balance Sheet - Data'!$C$2:$D$2,0))</f>
        <v>45.6</v>
      </c>
      <c r="I43" s="37">
        <v>45.6</v>
      </c>
      <c r="J43" s="37">
        <v>45.6</v>
      </c>
    </row>
    <row r="44" spans="2:10" x14ac:dyDescent="0.25">
      <c r="B44" s="5" t="s">
        <v>89</v>
      </c>
      <c r="G44">
        <f>INDEX('Balance Sheet - Data'!$C$3:$D$57,MATCH('balance sheet'!$B44,'Balance Sheet - Data'!$B$3:$B$57,0),MATCH('balance sheet'!G$4,'Balance Sheet - Data'!$C$2:$D$2,0))</f>
        <v>19.399999999999999</v>
      </c>
      <c r="H44">
        <f>INDEX('Balance Sheet - Data'!$C$3:$D$57,MATCH('balance sheet'!$B44,'Balance Sheet - Data'!$B$3:$B$57,0),MATCH('balance sheet'!H$4,'Balance Sheet - Data'!$C$2:$D$2,0))</f>
        <v>19.399999999999999</v>
      </c>
      <c r="I44" s="37">
        <v>19.399999999999999</v>
      </c>
      <c r="J44" s="37">
        <v>19.399999999999999</v>
      </c>
    </row>
    <row r="45" spans="2:10" x14ac:dyDescent="0.25">
      <c r="B45" s="5" t="s">
        <v>78</v>
      </c>
      <c r="G45">
        <f>INDEX('Balance Sheet - Data'!$C$3:$D$57,MATCH('balance sheet'!$B45,'Balance Sheet - Data'!$B$3:$B$57,0),MATCH('balance sheet'!G$4,'Balance Sheet - Data'!$C$2:$D$2,0))</f>
        <v>163</v>
      </c>
      <c r="H45">
        <f>INDEX('Balance Sheet - Data'!$C$3:$D$57,MATCH('balance sheet'!$B45,'Balance Sheet - Data'!$B$3:$B$57,0),MATCH('balance sheet'!H$4,'Balance Sheet - Data'!$C$2:$D$2,0))</f>
        <v>166.1</v>
      </c>
      <c r="I45" s="37">
        <v>166.1</v>
      </c>
      <c r="J45" s="37">
        <v>166.1</v>
      </c>
    </row>
    <row r="46" spans="2:10" x14ac:dyDescent="0.25">
      <c r="B46" s="12" t="s">
        <v>8</v>
      </c>
      <c r="C46" s="12"/>
      <c r="D46" s="12"/>
      <c r="E46" s="12"/>
      <c r="F46" s="12"/>
      <c r="G46" s="12">
        <f>SUM(G38:G45)</f>
        <v>954.6</v>
      </c>
      <c r="H46" s="12">
        <f>SUM(H38:H45)</f>
        <v>1621.1</v>
      </c>
      <c r="I46" s="12">
        <f t="shared" ref="I46:J46" si="3">SUM(I38:I45)</f>
        <v>1620.1</v>
      </c>
      <c r="J46" s="12">
        <f t="shared" si="3"/>
        <v>1619.1</v>
      </c>
    </row>
    <row r="48" spans="2:10" x14ac:dyDescent="0.25">
      <c r="B48" s="12" t="s">
        <v>48</v>
      </c>
      <c r="C48" s="29"/>
      <c r="D48" s="29"/>
      <c r="E48" s="29"/>
      <c r="F48" s="29"/>
      <c r="G48" s="12">
        <f>SUM(G46,G35)</f>
        <v>2755.3</v>
      </c>
      <c r="H48" s="12">
        <f>SUM(H46,H35)</f>
        <v>3158.2</v>
      </c>
      <c r="I48" s="64">
        <f t="shared" ref="I48:J48" ca="1" si="4">SUM(I46,I35)</f>
        <v>3162.717348673546</v>
      </c>
      <c r="J48" s="64">
        <f t="shared" ca="1" si="4"/>
        <v>3161.1665678250902</v>
      </c>
    </row>
    <row r="50" spans="2:10" x14ac:dyDescent="0.25">
      <c r="B50" t="s">
        <v>79</v>
      </c>
      <c r="G50">
        <f>INDEX('Balance Sheet - Data'!$C$3:$D$57,MATCH('balance sheet'!$B50,'Balance Sheet - Data'!$B$3:$B$57,0),MATCH('balance sheet'!G$4,'Balance Sheet - Data'!$C$2:$D$2,0))</f>
        <v>694.4</v>
      </c>
      <c r="H50">
        <f>INDEX('Balance Sheet - Data'!$C$3:$D$57,MATCH('balance sheet'!$B50,'Balance Sheet - Data'!$B$3:$B$57,0),MATCH('balance sheet'!H$4,'Balance Sheet - Data'!$C$2:$D$2,0))</f>
        <v>694.4</v>
      </c>
      <c r="I50">
        <v>694.4</v>
      </c>
      <c r="J50">
        <v>694.4</v>
      </c>
    </row>
    <row r="51" spans="2:10" x14ac:dyDescent="0.25">
      <c r="B51" s="5" t="s">
        <v>80</v>
      </c>
      <c r="G51">
        <f>INDEX('Balance Sheet - Data'!$C$3:$D$57,MATCH('balance sheet'!$B51,'Balance Sheet - Data'!$B$3:$B$57,0),MATCH('balance sheet'!G$4,'Balance Sheet - Data'!$C$2:$D$2,0))</f>
        <v>-1.6</v>
      </c>
      <c r="H51">
        <f>INDEX('Balance Sheet - Data'!$C$3:$D$57,MATCH('balance sheet'!$B51,'Balance Sheet - Data'!$B$3:$B$57,0),MATCH('balance sheet'!H$4,'Balance Sheet - Data'!$C$2:$D$2,0))</f>
        <v>-0.8</v>
      </c>
      <c r="I51">
        <v>-0.8</v>
      </c>
      <c r="J51">
        <v>-0.8</v>
      </c>
    </row>
    <row r="52" spans="2:10" x14ac:dyDescent="0.25">
      <c r="B52" s="5" t="s">
        <v>81</v>
      </c>
      <c r="G52">
        <f>INDEX('Balance Sheet - Data'!$C$3:$D$57,MATCH('balance sheet'!$B52,'Balance Sheet - Data'!$B$3:$B$57,0),MATCH('balance sheet'!G$4,'Balance Sheet - Data'!$C$2:$D$2,0))</f>
        <v>103.2</v>
      </c>
      <c r="H52">
        <f>INDEX('Balance Sheet - Data'!$C$3:$D$57,MATCH('balance sheet'!$B52,'Balance Sheet - Data'!$B$3:$B$57,0),MATCH('balance sheet'!H$4,'Balance Sheet - Data'!$C$2:$D$2,0))</f>
        <v>19.399999999999999</v>
      </c>
      <c r="I52">
        <v>19.399999999999999</v>
      </c>
      <c r="J52">
        <v>19.399999999999999</v>
      </c>
    </row>
    <row r="53" spans="2:10" x14ac:dyDescent="0.25">
      <c r="B53" s="5" t="s">
        <v>82</v>
      </c>
      <c r="G53">
        <f>INDEX('Balance Sheet - Data'!$C$3:$D$57,MATCH('balance sheet'!$B53,'Balance Sheet - Data'!$B$3:$B$57,0),MATCH('balance sheet'!G$4,'Balance Sheet - Data'!$C$2:$D$2,0))</f>
        <v>-206.7</v>
      </c>
      <c r="H53">
        <f>INDEX('Balance Sheet - Data'!$C$3:$D$57,MATCH('balance sheet'!$B53,'Balance Sheet - Data'!$B$3:$B$57,0),MATCH('balance sheet'!H$4,'Balance Sheet - Data'!$C$2:$D$2,0))</f>
        <v>-179.6</v>
      </c>
      <c r="I53">
        <v>-179.6</v>
      </c>
      <c r="J53">
        <v>-179.6</v>
      </c>
    </row>
    <row r="54" spans="2:10" x14ac:dyDescent="0.25">
      <c r="B54" s="5" t="s">
        <v>83</v>
      </c>
      <c r="G54">
        <f>INDEX('Balance Sheet - Data'!$C$3:$D$57,MATCH('balance sheet'!$B54,'Balance Sheet - Data'!$B$3:$B$57,0),MATCH('balance sheet'!G$4,'Balance Sheet - Data'!$C$2:$D$2,0))</f>
        <v>2009.7</v>
      </c>
      <c r="H54">
        <f>INDEX('Balance Sheet - Data'!$C$3:$D$57,MATCH('balance sheet'!$B54,'Balance Sheet - Data'!$B$3:$B$57,0),MATCH('balance sheet'!H$4,'Balance Sheet - Data'!$C$2:$D$2,0))</f>
        <v>2062.1</v>
      </c>
      <c r="I54" s="1">
        <f ca="1">'retained earnings schedule'!D12</f>
        <v>2100.3391506551243</v>
      </c>
      <c r="J54" s="1">
        <f ca="1">'retained earnings schedule'!E12</f>
        <v>2135.2633195249696</v>
      </c>
    </row>
    <row r="55" spans="2:10" x14ac:dyDescent="0.25">
      <c r="B55" s="5" t="s">
        <v>49</v>
      </c>
      <c r="G55">
        <f>INDEX('Balance Sheet - Data'!$C$3:$D$57,MATCH('balance sheet'!$B55,'Balance Sheet - Data'!$B$3:$B$57,0),MATCH('balance sheet'!G$4,'Balance Sheet - Data'!$C$2:$D$2,0))</f>
        <v>0</v>
      </c>
      <c r="H55">
        <f>INDEX('Balance Sheet - Data'!$C$3:$D$57,MATCH('balance sheet'!$B55,'Balance Sheet - Data'!$B$3:$B$57,0),MATCH('balance sheet'!H$4,'Balance Sheet - Data'!$C$2:$D$2,0))</f>
        <v>0</v>
      </c>
    </row>
    <row r="56" spans="2:10" x14ac:dyDescent="0.25">
      <c r="B56" s="5" t="s">
        <v>84</v>
      </c>
      <c r="G56">
        <f>INDEX('Balance Sheet - Data'!$C$3:$D$57,MATCH('balance sheet'!$B56,'Balance Sheet - Data'!$B$3:$B$57,0),MATCH('balance sheet'!G$4,'Balance Sheet - Data'!$C$2:$D$2,0))</f>
        <v>426.6</v>
      </c>
      <c r="H56">
        <f>INDEX('Balance Sheet - Data'!$C$3:$D$57,MATCH('balance sheet'!$B56,'Balance Sheet - Data'!$B$3:$B$57,0),MATCH('balance sheet'!H$4,'Balance Sheet - Data'!$C$2:$D$2,0))</f>
        <v>385.2</v>
      </c>
      <c r="I56" s="37">
        <f ca="1">'non-controlling interests '!D9</f>
        <v>383.84197408888343</v>
      </c>
      <c r="J56" s="37">
        <f ca="1">'non-controlling interests '!E9</f>
        <v>382.6016765028516</v>
      </c>
    </row>
    <row r="57" spans="2:10" x14ac:dyDescent="0.25">
      <c r="B57" s="12" t="s">
        <v>50</v>
      </c>
      <c r="C57" s="12"/>
      <c r="D57" s="12"/>
      <c r="E57" s="12"/>
      <c r="F57" s="12"/>
      <c r="G57" s="12">
        <f>SUM(G50:G56)</f>
        <v>3025.6</v>
      </c>
      <c r="H57" s="12">
        <f>SUM(H50:H56)</f>
        <v>2980.7</v>
      </c>
      <c r="I57" s="64">
        <f t="shared" ref="I57:J57" ca="1" si="5">SUM(I50:I56)</f>
        <v>3017.5811247440079</v>
      </c>
      <c r="J57" s="64">
        <f t="shared" ca="1" si="5"/>
        <v>3051.2649960278213</v>
      </c>
    </row>
    <row r="59" spans="2:10" x14ac:dyDescent="0.25">
      <c r="B59" s="28" t="s">
        <v>51</v>
      </c>
      <c r="C59" s="28"/>
      <c r="D59" s="28"/>
      <c r="E59" s="28"/>
      <c r="F59" s="28"/>
      <c r="G59" s="58">
        <f>SUM(G57,G48)</f>
        <v>5780.9</v>
      </c>
      <c r="H59" s="58">
        <f>SUM(H57,H48)</f>
        <v>6138.9</v>
      </c>
      <c r="I59" s="58">
        <f t="shared" ref="I59:J59" ca="1" si="6">SUM(I57,I48)</f>
        <v>6180.2984734175534</v>
      </c>
      <c r="J59" s="58">
        <f t="shared" ca="1" si="6"/>
        <v>6212.4315638529115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8EF0D-EDA1-478D-A8A1-E2EE128C08F8}">
  <dimension ref="B1:F14"/>
  <sheetViews>
    <sheetView workbookViewId="0">
      <selection activeCell="D4" sqref="D4"/>
    </sheetView>
  </sheetViews>
  <sheetFormatPr defaultRowHeight="15" x14ac:dyDescent="0.25"/>
  <cols>
    <col min="2" max="2" width="39.85546875" bestFit="1" customWidth="1"/>
    <col min="3" max="10" width="9.7109375" bestFit="1" customWidth="1"/>
  </cols>
  <sheetData>
    <row r="1" spans="2:6" x14ac:dyDescent="0.25">
      <c r="B1" s="41" t="s">
        <v>131</v>
      </c>
      <c r="C1" s="49" t="s">
        <v>132</v>
      </c>
      <c r="D1" s="49"/>
      <c r="E1" s="49"/>
      <c r="F1" s="49" t="s">
        <v>100</v>
      </c>
    </row>
    <row r="2" spans="2:6" x14ac:dyDescent="0.25">
      <c r="B2" s="41" t="s">
        <v>101</v>
      </c>
      <c r="C2" s="42">
        <v>2024</v>
      </c>
      <c r="D2" s="42">
        <f>C2+1</f>
        <v>2025</v>
      </c>
      <c r="E2" s="42">
        <f t="shared" ref="E2:F2" si="0">D2+1</f>
        <v>2026</v>
      </c>
      <c r="F2" s="42">
        <f t="shared" si="0"/>
        <v>2027</v>
      </c>
    </row>
    <row r="3" spans="2:6" x14ac:dyDescent="0.25">
      <c r="B3" t="s">
        <v>133</v>
      </c>
      <c r="C3" s="31">
        <v>2012.1</v>
      </c>
      <c r="D3" s="1">
        <f>C6</f>
        <v>2129.6</v>
      </c>
      <c r="E3" s="43">
        <f>D6</f>
        <v>2339.3000000000002</v>
      </c>
      <c r="F3" s="43">
        <f ca="1">E6</f>
        <v>2533.128885368812</v>
      </c>
    </row>
    <row r="4" spans="2:6" x14ac:dyDescent="0.25">
      <c r="B4" t="s">
        <v>134</v>
      </c>
      <c r="C4" s="6">
        <f>'balance sheet'!G17-C3+(-C5)</f>
        <v>477.6</v>
      </c>
      <c r="D4" s="6">
        <f>'balance sheet'!H17-D3+(-D5)</f>
        <v>583.3000000000003</v>
      </c>
      <c r="E4" s="6">
        <f ca="1">D4*(1+'Profit &amp; loss'!E46)</f>
        <v>604.21697702921779</v>
      </c>
      <c r="F4" s="6">
        <f ca="1">E4*(1+'Profit &amp; loss'!F46)</f>
        <v>616.90092120349527</v>
      </c>
    </row>
    <row r="5" spans="2:6" x14ac:dyDescent="0.25">
      <c r="B5" t="s">
        <v>135</v>
      </c>
      <c r="C5" s="50">
        <v>-360.1</v>
      </c>
      <c r="D5" s="50">
        <v>-373.6</v>
      </c>
      <c r="E5" s="50">
        <f>E3*E9</f>
        <v>-410.38809166040579</v>
      </c>
      <c r="F5" s="50">
        <f ca="1">F3*F9</f>
        <v>-444.39188184343925</v>
      </c>
    </row>
    <row r="6" spans="2:6" x14ac:dyDescent="0.25">
      <c r="B6" s="30" t="s">
        <v>136</v>
      </c>
      <c r="C6" s="51">
        <f>SUM(C3:C5)</f>
        <v>2129.6</v>
      </c>
      <c r="D6" s="51">
        <f>SUM(D3:D5)</f>
        <v>2339.3000000000002</v>
      </c>
      <c r="E6" s="51">
        <f ca="1">SUM(E3:E5)</f>
        <v>2533.128885368812</v>
      </c>
      <c r="F6" s="45">
        <f ca="1">SUM(F3:F5)</f>
        <v>2705.6379247288678</v>
      </c>
    </row>
    <row r="8" spans="2:6" x14ac:dyDescent="0.25">
      <c r="B8" s="32" t="s">
        <v>137</v>
      </c>
      <c r="C8" s="33"/>
      <c r="D8" s="33"/>
      <c r="E8" s="33"/>
      <c r="F8" s="33"/>
    </row>
    <row r="9" spans="2:6" x14ac:dyDescent="0.25">
      <c r="B9" s="33" t="s">
        <v>142</v>
      </c>
      <c r="C9" s="52">
        <f>C5/C3</f>
        <v>-0.17896724814870038</v>
      </c>
      <c r="D9" s="52">
        <f t="shared" ref="D9" si="1">D5/D3</f>
        <v>-0.17543200601051842</v>
      </c>
      <c r="E9" s="52">
        <v>-0.17543200601051842</v>
      </c>
      <c r="F9" s="52">
        <v>-0.17543200601051842</v>
      </c>
    </row>
    <row r="11" spans="2:6" x14ac:dyDescent="0.25">
      <c r="B11" s="42" t="s">
        <v>138</v>
      </c>
      <c r="C11" s="53"/>
      <c r="D11" s="53"/>
      <c r="E11" s="53"/>
      <c r="F11" s="53"/>
    </row>
    <row r="12" spans="2:6" x14ac:dyDescent="0.25">
      <c r="B12" t="s">
        <v>139</v>
      </c>
      <c r="C12" s="43">
        <f>('Profit &amp; loss'!C32-'Fixed assets schedule'!C5)</f>
        <v>-8.2999999999999545</v>
      </c>
      <c r="D12" s="43">
        <f>('Profit &amp; loss'!D32-'Fixed assets schedule'!D5)</f>
        <v>-26</v>
      </c>
      <c r="E12" s="43">
        <f>('Profit &amp; loss'!E32-'Fixed assets schedule'!E5)</f>
        <v>-23.054253616467236</v>
      </c>
      <c r="F12" s="43">
        <f ca="1">('Profit &amp; loss'!F32-'Fixed assets schedule'!F5)</f>
        <v>-25.758935671866027</v>
      </c>
    </row>
    <row r="13" spans="2:6" x14ac:dyDescent="0.25">
      <c r="B13" t="s">
        <v>140</v>
      </c>
      <c r="C13" s="54">
        <f>C12/'Profit &amp; loss'!C12</f>
        <v>-1.8541271082318674E-3</v>
      </c>
      <c r="D13" s="54">
        <f>D12/'Profit &amp; loss'!D12</f>
        <v>-5.1397619894832563E-3</v>
      </c>
      <c r="E13" s="54">
        <f>E12/'Profit &amp; loss'!E12</f>
        <v>-4.399666720699854E-3</v>
      </c>
      <c r="F13" s="54">
        <f ca="1">F12/'Profit &amp; loss'!F12</f>
        <v>-4.8147543311899115E-3</v>
      </c>
    </row>
    <row r="14" spans="2:6" x14ac:dyDescent="0.25">
      <c r="B14" s="12" t="s">
        <v>141</v>
      </c>
      <c r="C14" s="17">
        <f>'Profit &amp; loss'!C32</f>
        <v>-368.4</v>
      </c>
      <c r="D14" s="17">
        <f>'Profit &amp; loss'!D32</f>
        <v>-399.6</v>
      </c>
      <c r="E14" s="17">
        <f>'Profit &amp; loss'!E32</f>
        <v>-433.44234527687303</v>
      </c>
      <c r="F14" s="17">
        <f>'Profit &amp; loss'!F32</f>
        <v>-470.15081751530528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FA31-DA3A-4B07-A10D-737C6A149ACB}">
  <dimension ref="A1:E13"/>
  <sheetViews>
    <sheetView tabSelected="1" workbookViewId="0">
      <selection activeCell="D13" sqref="D13"/>
    </sheetView>
  </sheetViews>
  <sheetFormatPr defaultRowHeight="15" x14ac:dyDescent="0.25"/>
  <cols>
    <col min="1" max="1" width="57.85546875" bestFit="1" customWidth="1"/>
    <col min="3" max="3" width="6.140625" bestFit="1" customWidth="1"/>
  </cols>
  <sheetData>
    <row r="1" spans="1:5" x14ac:dyDescent="0.25">
      <c r="A1" s="41" t="s">
        <v>143</v>
      </c>
      <c r="B1" s="49" t="s">
        <v>132</v>
      </c>
      <c r="C1" s="49"/>
      <c r="D1" s="49"/>
      <c r="E1" s="49" t="s">
        <v>100</v>
      </c>
    </row>
    <row r="2" spans="1:5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</row>
    <row r="3" spans="1:5" x14ac:dyDescent="0.25">
      <c r="A3" t="s">
        <v>144</v>
      </c>
      <c r="B3" s="31">
        <v>2004.7</v>
      </c>
      <c r="C3" s="31">
        <v>2009.7</v>
      </c>
      <c r="D3" s="43">
        <f>C12</f>
        <v>2062.1</v>
      </c>
      <c r="E3" s="43">
        <f ca="1">D12</f>
        <v>2100.3391506551243</v>
      </c>
    </row>
    <row r="4" spans="1:5" x14ac:dyDescent="0.25">
      <c r="A4" t="s">
        <v>0</v>
      </c>
      <c r="B4" s="6">
        <f>'Profit &amp; loss'!C41</f>
        <v>255.7000000000001</v>
      </c>
      <c r="C4" s="6">
        <f>'Profit &amp; loss'!D41</f>
        <v>271.90000000000009</v>
      </c>
      <c r="D4" s="6">
        <f ca="1">'Profit &amp; loss'!E41</f>
        <v>194.34065538557596</v>
      </c>
      <c r="E4" s="6">
        <f ca="1">'Profit &amp; loss'!F41</f>
        <v>177.49311244319409</v>
      </c>
    </row>
    <row r="5" spans="1:5" x14ac:dyDescent="0.25">
      <c r="A5" t="s">
        <v>150</v>
      </c>
      <c r="B5" s="59">
        <v>-45.2</v>
      </c>
      <c r="C5" s="59">
        <v>-41.6</v>
      </c>
      <c r="D5" s="6">
        <f ca="1">(C5/C4)*D4</f>
        <v>-29.733619948657434</v>
      </c>
      <c r="E5" s="6">
        <f ca="1">(D5/D4)*E4</f>
        <v>-27.155989252066465</v>
      </c>
    </row>
    <row r="6" spans="1:5" x14ac:dyDescent="0.25">
      <c r="A6" t="s">
        <v>151</v>
      </c>
      <c r="B6" s="6">
        <f>SUM(B4:B5)</f>
        <v>210.50000000000011</v>
      </c>
      <c r="C6" s="6">
        <f>SUM(C4:C5)</f>
        <v>230.3000000000001</v>
      </c>
      <c r="D6" s="6">
        <f t="shared" ref="D6:E6" ca="1" si="1">SUM(D4:D5)</f>
        <v>164.60703543691852</v>
      </c>
      <c r="E6" s="6">
        <f t="shared" ca="1" si="1"/>
        <v>150.33712319112763</v>
      </c>
    </row>
    <row r="7" spans="1:5" x14ac:dyDescent="0.25">
      <c r="A7" t="s">
        <v>149</v>
      </c>
      <c r="B7" s="59">
        <v>30</v>
      </c>
      <c r="C7" s="6">
        <v>0</v>
      </c>
      <c r="D7" s="6">
        <v>0</v>
      </c>
      <c r="E7" s="6">
        <v>0</v>
      </c>
    </row>
    <row r="8" spans="1:5" x14ac:dyDescent="0.25">
      <c r="A8" t="s">
        <v>152</v>
      </c>
      <c r="B8" s="59">
        <v>1</v>
      </c>
      <c r="C8" s="59">
        <v>-1.1000000000000001</v>
      </c>
      <c r="D8" s="6">
        <v>0</v>
      </c>
      <c r="E8" s="6">
        <v>0</v>
      </c>
    </row>
    <row r="9" spans="1:5" x14ac:dyDescent="0.25">
      <c r="A9" t="s">
        <v>148</v>
      </c>
      <c r="B9" s="59">
        <v>-79.3</v>
      </c>
      <c r="C9" s="6">
        <v>0</v>
      </c>
      <c r="D9" s="6">
        <v>0</v>
      </c>
      <c r="E9" s="6">
        <v>0</v>
      </c>
    </row>
    <row r="10" spans="1:5" x14ac:dyDescent="0.25">
      <c r="A10" t="s">
        <v>147</v>
      </c>
      <c r="B10" s="59">
        <v>0.5</v>
      </c>
      <c r="C10" s="6">
        <v>0</v>
      </c>
      <c r="D10" s="6">
        <v>0</v>
      </c>
      <c r="E10" s="6">
        <v>0</v>
      </c>
    </row>
    <row r="11" spans="1:5" x14ac:dyDescent="0.25">
      <c r="A11" t="s">
        <v>146</v>
      </c>
      <c r="B11" s="50">
        <v>-157.69999999999999</v>
      </c>
      <c r="C11" s="50">
        <v>-176.8</v>
      </c>
      <c r="D11" s="56">
        <f ca="1">(C11/C4)*D4</f>
        <v>-126.3678847817941</v>
      </c>
      <c r="E11" s="56">
        <f ca="1">(D11/D4)*E4</f>
        <v>-115.41295432128247</v>
      </c>
    </row>
    <row r="12" spans="1:5" x14ac:dyDescent="0.25">
      <c r="A12" s="30" t="s">
        <v>145</v>
      </c>
      <c r="B12" s="51">
        <f>SUM(B3,B6:B11)</f>
        <v>2009.7</v>
      </c>
      <c r="C12" s="51">
        <f>SUM(C3,C6:C11)</f>
        <v>2062.1</v>
      </c>
      <c r="D12" s="51">
        <f ca="1">SUM(D3,D6:D11)</f>
        <v>2100.3391506551243</v>
      </c>
      <c r="E12" s="51">
        <f ca="1">SUM(E3,E6:E11)</f>
        <v>2135.2633195249696</v>
      </c>
    </row>
    <row r="13" spans="1:5" x14ac:dyDescent="0.25">
      <c r="B13" s="60"/>
      <c r="C13" s="6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29E6-C101-4158-97C4-51C080E9200C}">
  <dimension ref="A1:E9"/>
  <sheetViews>
    <sheetView workbookViewId="0">
      <selection activeCell="D6" sqref="D6"/>
    </sheetView>
  </sheetViews>
  <sheetFormatPr defaultRowHeight="15" x14ac:dyDescent="0.25"/>
  <cols>
    <col min="1" max="1" width="57.85546875" bestFit="1" customWidth="1"/>
  </cols>
  <sheetData>
    <row r="1" spans="1:5" x14ac:dyDescent="0.25">
      <c r="A1" s="41" t="s">
        <v>153</v>
      </c>
      <c r="B1" s="49" t="s">
        <v>132</v>
      </c>
      <c r="C1" s="49"/>
      <c r="D1" s="49"/>
      <c r="E1" s="49" t="s">
        <v>100</v>
      </c>
    </row>
    <row r="2" spans="1:5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</row>
    <row r="3" spans="1:5" x14ac:dyDescent="0.25">
      <c r="A3" t="s">
        <v>154</v>
      </c>
      <c r="B3" s="31">
        <v>416.2</v>
      </c>
      <c r="C3" s="31">
        <v>426.6</v>
      </c>
      <c r="D3" s="43">
        <f>C9</f>
        <v>385.20000000000005</v>
      </c>
      <c r="E3" s="43">
        <f ca="1">D9</f>
        <v>383.84197408888343</v>
      </c>
    </row>
    <row r="4" spans="1:5" x14ac:dyDescent="0.25">
      <c r="A4" t="s">
        <v>0</v>
      </c>
      <c r="B4" s="6">
        <f>-'retained earnings schedule'!B5</f>
        <v>45.2</v>
      </c>
      <c r="C4" s="6">
        <f>-'retained earnings schedule'!C5</f>
        <v>41.6</v>
      </c>
      <c r="D4" s="6">
        <f ca="1">(C4/'Profit &amp; loss'!D41)*'Profit &amp; loss'!E41</f>
        <v>29.733619948657434</v>
      </c>
      <c r="E4" s="6">
        <f ca="1">(D4/'Profit &amp; loss'!E41)*'Profit &amp; loss'!F41</f>
        <v>27.155989252066465</v>
      </c>
    </row>
    <row r="5" spans="1:5" x14ac:dyDescent="0.25">
      <c r="A5" t="s">
        <v>156</v>
      </c>
      <c r="B5" s="59">
        <v>1.3</v>
      </c>
      <c r="C5" s="59">
        <v>-2.5</v>
      </c>
      <c r="D5" s="59">
        <v>0</v>
      </c>
      <c r="E5" s="59">
        <v>0</v>
      </c>
    </row>
    <row r="6" spans="1:5" x14ac:dyDescent="0.25">
      <c r="A6" t="s">
        <v>155</v>
      </c>
      <c r="B6" s="59">
        <v>-32.6</v>
      </c>
      <c r="C6" s="59">
        <v>-43.5</v>
      </c>
      <c r="D6" s="6">
        <f ca="1">(C6/'Profit &amp; loss'!D41)*'Profit &amp; loss'!E41</f>
        <v>-31.091645859774001</v>
      </c>
      <c r="E6" s="6">
        <f ca="1">(D6/'Profit &amp; loss'!E41)*'Profit &amp; loss'!F41</f>
        <v>-28.396286838098344</v>
      </c>
    </row>
    <row r="7" spans="1:5" x14ac:dyDescent="0.25">
      <c r="A7" t="s">
        <v>157</v>
      </c>
      <c r="B7" s="59"/>
      <c r="C7" s="6">
        <v>-39.1</v>
      </c>
      <c r="D7" s="6">
        <v>0</v>
      </c>
      <c r="E7" s="6">
        <v>0</v>
      </c>
    </row>
    <row r="8" spans="1:5" x14ac:dyDescent="0.25">
      <c r="A8" t="s">
        <v>152</v>
      </c>
      <c r="B8" s="59">
        <v>-3.5</v>
      </c>
      <c r="C8" s="6">
        <v>2.1</v>
      </c>
      <c r="D8" s="6">
        <v>0</v>
      </c>
      <c r="E8" s="6">
        <v>0</v>
      </c>
    </row>
    <row r="9" spans="1:5" x14ac:dyDescent="0.25">
      <c r="A9" s="61" t="s">
        <v>158</v>
      </c>
      <c r="B9" s="61">
        <f>SUM(B3:B8)</f>
        <v>426.59999999999997</v>
      </c>
      <c r="C9" s="61">
        <f>SUM(C3:C8)</f>
        <v>385.20000000000005</v>
      </c>
      <c r="D9" s="62">
        <f t="shared" ref="D9:E9" ca="1" si="1">SUM(D3:D8)</f>
        <v>383.84197408888343</v>
      </c>
      <c r="E9" s="62">
        <f t="shared" ca="1" si="1"/>
        <v>382.6016765028516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B673-D0FC-47F3-8A99-0E5E40E232C3}">
  <dimension ref="A1:E13"/>
  <sheetViews>
    <sheetView workbookViewId="0">
      <selection activeCell="E6" sqref="E6"/>
    </sheetView>
  </sheetViews>
  <sheetFormatPr defaultRowHeight="15" x14ac:dyDescent="0.25"/>
  <cols>
    <col min="1" max="1" width="57.85546875" bestFit="1" customWidth="1"/>
  </cols>
  <sheetData>
    <row r="1" spans="1:5" x14ac:dyDescent="0.25">
      <c r="A1" s="41" t="s">
        <v>168</v>
      </c>
      <c r="B1" s="106" t="s">
        <v>132</v>
      </c>
      <c r="C1" s="106"/>
      <c r="D1" s="106" t="s">
        <v>100</v>
      </c>
      <c r="E1" s="106"/>
    </row>
    <row r="2" spans="1:5" x14ac:dyDescent="0.25">
      <c r="A2" s="41" t="s">
        <v>101</v>
      </c>
      <c r="B2" s="42">
        <v>2024</v>
      </c>
      <c r="C2" s="42">
        <f>B2+1</f>
        <v>2025</v>
      </c>
      <c r="D2" s="42">
        <f>C2+1</f>
        <v>2026</v>
      </c>
      <c r="E2" s="42">
        <f t="shared" ref="E2" si="0">D2+1</f>
        <v>2027</v>
      </c>
    </row>
    <row r="3" spans="1:5" x14ac:dyDescent="0.25">
      <c r="A3" t="s">
        <v>169</v>
      </c>
      <c r="B3" s="31">
        <f>234.9+115.4</f>
        <v>350.3</v>
      </c>
      <c r="C3" s="31">
        <f>'balance sheet'!G38+'balance sheet'!G27</f>
        <v>1081.5999999999999</v>
      </c>
      <c r="D3" s="43">
        <f>C5</f>
        <v>1572.1999999999998</v>
      </c>
      <c r="E3" s="43">
        <f>D5</f>
        <v>1572.1999999999998</v>
      </c>
    </row>
    <row r="4" spans="1:5" x14ac:dyDescent="0.25">
      <c r="A4" t="s">
        <v>170</v>
      </c>
      <c r="B4" s="6">
        <f>B5-B3</f>
        <v>731.3</v>
      </c>
      <c r="C4" s="6">
        <f t="shared" ref="C4" si="1">C5-C3</f>
        <v>490.59999999999991</v>
      </c>
      <c r="D4" s="6">
        <v>0</v>
      </c>
      <c r="E4" s="6">
        <v>0</v>
      </c>
    </row>
    <row r="5" spans="1:5" x14ac:dyDescent="0.25">
      <c r="A5" s="30" t="s">
        <v>171</v>
      </c>
      <c r="B5" s="51">
        <f>'balance sheet'!G27+'balance sheet'!G38</f>
        <v>1081.5999999999999</v>
      </c>
      <c r="C5" s="51">
        <f>'balance sheet'!H27+'balance sheet'!H38</f>
        <v>1572.1999999999998</v>
      </c>
      <c r="D5" s="51">
        <f>'balance sheet'!I27+'balance sheet'!I38</f>
        <v>1572.1999999999998</v>
      </c>
      <c r="E5" s="45">
        <f>'balance sheet'!J27+'balance sheet'!J38</f>
        <v>1572.1999999999998</v>
      </c>
    </row>
    <row r="6" spans="1:5" x14ac:dyDescent="0.25">
      <c r="A6" t="s">
        <v>172</v>
      </c>
      <c r="B6" s="55">
        <f>B7/B3</f>
        <v>8.9351984013702535E-2</v>
      </c>
      <c r="C6" s="55">
        <f>C7/C3</f>
        <v>3.8091715976331368E-2</v>
      </c>
      <c r="D6" s="55">
        <v>3.8091715976331368E-2</v>
      </c>
      <c r="E6" s="55">
        <v>3.8091715976331368E-2</v>
      </c>
    </row>
    <row r="7" spans="1:5" x14ac:dyDescent="0.25">
      <c r="A7" t="s">
        <v>173</v>
      </c>
      <c r="B7">
        <v>31.3</v>
      </c>
      <c r="C7">
        <v>41.2</v>
      </c>
      <c r="D7" s="11">
        <f>D6*D3</f>
        <v>59.887795857988174</v>
      </c>
      <c r="E7" s="11">
        <f>E6*E3</f>
        <v>59.887795857988174</v>
      </c>
    </row>
    <row r="9" spans="1:5" x14ac:dyDescent="0.25">
      <c r="A9" t="s">
        <v>174</v>
      </c>
      <c r="B9" s="31">
        <f>8.1+31.5+1+137.3</f>
        <v>177.9</v>
      </c>
      <c r="C9">
        <f>'debt schedule'!B11</f>
        <v>273</v>
      </c>
      <c r="D9">
        <f>C11</f>
        <v>249.3</v>
      </c>
      <c r="E9">
        <f>D11</f>
        <v>249.3</v>
      </c>
    </row>
    <row r="10" spans="1:5" x14ac:dyDescent="0.25">
      <c r="A10" t="s">
        <v>170</v>
      </c>
      <c r="B10">
        <f>B11-B9</f>
        <v>95.1</v>
      </c>
      <c r="C10">
        <f>C11-C9</f>
        <v>-23.699999999999989</v>
      </c>
      <c r="D10">
        <f>D11-D9</f>
        <v>0</v>
      </c>
      <c r="E10">
        <f>E11-E9</f>
        <v>0</v>
      </c>
    </row>
    <row r="11" spans="1:5" x14ac:dyDescent="0.25">
      <c r="A11" s="30" t="s">
        <v>175</v>
      </c>
      <c r="B11" s="30">
        <f>'balance sheet'!G28+'balance sheet'!G29+'balance sheet'!G39+'balance sheet'!G40</f>
        <v>273</v>
      </c>
      <c r="C11" s="30">
        <f>'balance sheet'!H28+'balance sheet'!H29+'balance sheet'!H39+'balance sheet'!H40</f>
        <v>249.3</v>
      </c>
      <c r="D11" s="30">
        <f>'balance sheet'!I28+'balance sheet'!I29+'balance sheet'!I39+'balance sheet'!I40</f>
        <v>249.3</v>
      </c>
      <c r="E11" s="30">
        <f>'balance sheet'!J28+'balance sheet'!J29+'balance sheet'!J39+'balance sheet'!J40</f>
        <v>249.3</v>
      </c>
    </row>
    <row r="12" spans="1:5" x14ac:dyDescent="0.25">
      <c r="A12" t="s">
        <v>172</v>
      </c>
      <c r="B12" s="55">
        <f>B13/B9</f>
        <v>4.2720629567172569E-2</v>
      </c>
      <c r="C12" s="55">
        <f>C13/C9</f>
        <v>4.2490842490842493E-2</v>
      </c>
      <c r="D12" s="55">
        <v>4.2490842490842493E-2</v>
      </c>
      <c r="E12" s="55">
        <v>4.2490842490842493E-2</v>
      </c>
    </row>
    <row r="13" spans="1:5" x14ac:dyDescent="0.25">
      <c r="A13" t="s">
        <v>176</v>
      </c>
      <c r="B13" s="31">
        <v>7.6</v>
      </c>
      <c r="C13" s="31">
        <v>11.6</v>
      </c>
      <c r="D13" s="37">
        <f>D9*D12</f>
        <v>10.592967032967033</v>
      </c>
      <c r="E13" s="37">
        <f>E9*E12</f>
        <v>10.592967032967033</v>
      </c>
    </row>
  </sheetData>
  <mergeCells count="2">
    <mergeCell ref="D1:E1"/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FCA6-F21F-41AC-8B27-3350E8A615E2}"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9A7B-3FC4-4BC4-BAB3-BD22406B3CBB}">
  <dimension ref="B2:K33"/>
  <sheetViews>
    <sheetView topLeftCell="A6" zoomScale="145" zoomScaleNormal="145" workbookViewId="0">
      <selection activeCell="D16" sqref="D16"/>
    </sheetView>
  </sheetViews>
  <sheetFormatPr defaultColWidth="8.7109375" defaultRowHeight="15" x14ac:dyDescent="0.25"/>
  <cols>
    <col min="2" max="2" width="53" bestFit="1" customWidth="1"/>
    <col min="3" max="3" width="9.140625" bestFit="1" customWidth="1"/>
    <col min="4" max="4" width="9.85546875" customWidth="1"/>
  </cols>
  <sheetData>
    <row r="2" spans="2:11" x14ac:dyDescent="0.25">
      <c r="B2" t="s">
        <v>1</v>
      </c>
      <c r="C2">
        <v>2025</v>
      </c>
      <c r="D2">
        <v>2024</v>
      </c>
    </row>
    <row r="3" spans="2:11" x14ac:dyDescent="0.25">
      <c r="B3" t="s">
        <v>11</v>
      </c>
      <c r="C3">
        <v>5058.6000000000004</v>
      </c>
      <c r="D3" s="7">
        <v>4476.5</v>
      </c>
      <c r="G3" s="1"/>
      <c r="K3" s="1"/>
    </row>
    <row r="4" spans="2:11" x14ac:dyDescent="0.25">
      <c r="B4" t="s">
        <v>12</v>
      </c>
      <c r="D4" s="1"/>
    </row>
    <row r="5" spans="2:11" x14ac:dyDescent="0.25">
      <c r="B5" t="s">
        <v>15</v>
      </c>
      <c r="C5" s="3">
        <v>-2272</v>
      </c>
      <c r="D5" s="3">
        <v>-2024.1</v>
      </c>
      <c r="F5" s="3"/>
      <c r="H5" s="1"/>
    </row>
    <row r="6" spans="2:11" x14ac:dyDescent="0.25">
      <c r="B6" t="s">
        <v>16</v>
      </c>
      <c r="C6" s="3">
        <v>-644.29999999999995</v>
      </c>
      <c r="D6" s="3">
        <v>-445.8</v>
      </c>
      <c r="F6" s="3"/>
      <c r="H6" s="1"/>
    </row>
    <row r="7" spans="2:11" x14ac:dyDescent="0.25">
      <c r="B7" t="s">
        <v>17</v>
      </c>
      <c r="C7" s="3">
        <v>-350.9</v>
      </c>
      <c r="D7" s="3">
        <v>-397.2</v>
      </c>
      <c r="F7" s="3"/>
      <c r="H7" s="1"/>
    </row>
    <row r="8" spans="2:11" x14ac:dyDescent="0.25">
      <c r="B8" t="s">
        <v>19</v>
      </c>
      <c r="C8" s="1">
        <v>-349.3</v>
      </c>
      <c r="D8" s="1">
        <v>-329.7</v>
      </c>
      <c r="F8" s="3"/>
      <c r="H8" s="1"/>
    </row>
    <row r="9" spans="2:11" x14ac:dyDescent="0.25">
      <c r="B9" t="s">
        <v>20</v>
      </c>
      <c r="C9">
        <v>-90</v>
      </c>
      <c r="D9" s="1">
        <v>-104.4</v>
      </c>
      <c r="F9" s="3"/>
    </row>
    <row r="10" spans="2:11" x14ac:dyDescent="0.25">
      <c r="B10" t="s">
        <v>21</v>
      </c>
      <c r="C10" s="1">
        <v>-122.6</v>
      </c>
      <c r="D10" s="1">
        <v>-102.1</v>
      </c>
      <c r="F10" s="3"/>
      <c r="G10" s="2"/>
      <c r="H10" s="2"/>
    </row>
    <row r="11" spans="2:11" x14ac:dyDescent="0.25">
      <c r="B11" t="s">
        <v>22</v>
      </c>
      <c r="C11" s="1">
        <v>-97.5</v>
      </c>
      <c r="D11" s="1">
        <v>-86.8</v>
      </c>
      <c r="F11" s="3"/>
      <c r="G11" s="1"/>
    </row>
    <row r="12" spans="2:11" x14ac:dyDescent="0.25">
      <c r="B12" s="1" t="s">
        <v>23</v>
      </c>
      <c r="C12" s="1">
        <v>-85.7</v>
      </c>
      <c r="D12" s="1">
        <v>-74.599999999999994</v>
      </c>
    </row>
    <row r="13" spans="2:11" x14ac:dyDescent="0.25">
      <c r="B13" s="1" t="s">
        <v>24</v>
      </c>
      <c r="C13">
        <v>-90.6</v>
      </c>
      <c r="D13" s="1">
        <v>-73.5</v>
      </c>
      <c r="G13" s="1"/>
    </row>
    <row r="14" spans="2:11" x14ac:dyDescent="0.25">
      <c r="B14" t="s">
        <v>25</v>
      </c>
      <c r="C14">
        <v>-70.400000000000006</v>
      </c>
      <c r="D14">
        <v>-12</v>
      </c>
    </row>
    <row r="15" spans="2:11" x14ac:dyDescent="0.25">
      <c r="B15" s="1" t="s">
        <v>26</v>
      </c>
      <c r="C15">
        <v>-36</v>
      </c>
      <c r="D15" s="1">
        <v>-34.5</v>
      </c>
      <c r="G15" s="1"/>
    </row>
    <row r="16" spans="2:11" x14ac:dyDescent="0.25">
      <c r="B16" t="s">
        <v>27</v>
      </c>
      <c r="C16">
        <v>-30.8</v>
      </c>
      <c r="D16">
        <v>-33.200000000000003</v>
      </c>
    </row>
    <row r="17" spans="2:8" x14ac:dyDescent="0.25">
      <c r="B17" s="1" t="s">
        <v>28</v>
      </c>
      <c r="C17">
        <v>-2.1</v>
      </c>
      <c r="D17" s="1" t="s">
        <v>14</v>
      </c>
      <c r="G17" s="1"/>
    </row>
    <row r="18" spans="2:8" x14ac:dyDescent="0.25">
      <c r="B18" t="s">
        <v>29</v>
      </c>
      <c r="C18">
        <v>25.9</v>
      </c>
      <c r="D18">
        <v>5.0999999999999996</v>
      </c>
    </row>
    <row r="19" spans="2:8" x14ac:dyDescent="0.25">
      <c r="B19" t="s">
        <v>30</v>
      </c>
      <c r="C19">
        <v>-69.7</v>
      </c>
      <c r="D19">
        <v>-72.400000000000006</v>
      </c>
      <c r="G19" s="1"/>
    </row>
    <row r="20" spans="2:8" x14ac:dyDescent="0.25">
      <c r="B20" t="s">
        <v>31</v>
      </c>
      <c r="C20" s="6">
        <f>SUM(C5:C19)</f>
        <v>-4286.0000000000009</v>
      </c>
      <c r="D20" s="6">
        <f>SUM(D5:D19)</f>
        <v>-3785.2</v>
      </c>
      <c r="G20" s="1"/>
    </row>
    <row r="21" spans="2:8" x14ac:dyDescent="0.25">
      <c r="G21" s="1"/>
    </row>
    <row r="22" spans="2:8" x14ac:dyDescent="0.25">
      <c r="B22" s="9" t="s">
        <v>62</v>
      </c>
      <c r="C22" s="10">
        <f>SUM(C3,C20)</f>
        <v>772.59999999999945</v>
      </c>
      <c r="D22" s="10">
        <f>SUM(D3,D20)</f>
        <v>691.30000000000018</v>
      </c>
    </row>
    <row r="23" spans="2:8" x14ac:dyDescent="0.25">
      <c r="B23" t="s">
        <v>18</v>
      </c>
      <c r="C23" s="1">
        <v>-399.6</v>
      </c>
      <c r="D23" s="1">
        <v>-368.4</v>
      </c>
      <c r="F23" s="3"/>
      <c r="G23" s="2"/>
      <c r="H23" s="2"/>
    </row>
    <row r="24" spans="2:8" x14ac:dyDescent="0.25">
      <c r="B24" s="25" t="s">
        <v>61</v>
      </c>
      <c r="C24" s="26">
        <f>SUM(C22:C23)</f>
        <v>372.99999999999943</v>
      </c>
      <c r="D24" s="26">
        <f>SUM(D22:D23)</f>
        <v>322.9000000000002</v>
      </c>
    </row>
    <row r="25" spans="2:8" x14ac:dyDescent="0.25">
      <c r="B25" s="1"/>
      <c r="D25" s="1"/>
      <c r="G25" s="1"/>
    </row>
    <row r="26" spans="2:8" x14ac:dyDescent="0.25">
      <c r="B26" t="s">
        <v>33</v>
      </c>
    </row>
    <row r="27" spans="2:8" x14ac:dyDescent="0.25">
      <c r="B27" s="1" t="s">
        <v>32</v>
      </c>
      <c r="C27" s="1">
        <v>20.399999999999999</v>
      </c>
      <c r="D27">
        <v>31.7</v>
      </c>
      <c r="G27" s="1"/>
    </row>
    <row r="28" spans="2:8" x14ac:dyDescent="0.25">
      <c r="B28" t="s">
        <v>34</v>
      </c>
      <c r="C28">
        <v>-52.8</v>
      </c>
      <c r="D28">
        <v>-38.9</v>
      </c>
    </row>
    <row r="29" spans="2:8" x14ac:dyDescent="0.25">
      <c r="B29" t="s">
        <v>35</v>
      </c>
      <c r="C29">
        <v>0.8</v>
      </c>
      <c r="D29">
        <v>1.8</v>
      </c>
    </row>
    <row r="31" spans="2:8" x14ac:dyDescent="0.25">
      <c r="B31" s="12" t="s">
        <v>63</v>
      </c>
      <c r="C31" s="13">
        <f>SUM(C24,C27:C29)</f>
        <v>341.39999999999941</v>
      </c>
      <c r="D31" s="13">
        <f>SUM(D24,D27:D29)</f>
        <v>317.50000000000023</v>
      </c>
    </row>
    <row r="32" spans="2:8" x14ac:dyDescent="0.25">
      <c r="B32" t="s">
        <v>36</v>
      </c>
      <c r="C32">
        <v>-69.5</v>
      </c>
      <c r="D32">
        <v>-61.8</v>
      </c>
    </row>
    <row r="33" spans="2:4" x14ac:dyDescent="0.25">
      <c r="B33" t="s">
        <v>37</v>
      </c>
      <c r="C33" s="11">
        <f>SUM(C31:C32)</f>
        <v>271.89999999999941</v>
      </c>
      <c r="D33" s="11">
        <f>SUM(D31:D32)</f>
        <v>255.70000000000022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57C-C517-4759-A344-296D24F49324}">
  <dimension ref="B2:F57"/>
  <sheetViews>
    <sheetView zoomScale="145" zoomScaleNormal="145" workbookViewId="0">
      <selection activeCell="C5" sqref="C5"/>
    </sheetView>
  </sheetViews>
  <sheetFormatPr defaultColWidth="8.7109375" defaultRowHeight="15" x14ac:dyDescent="0.25"/>
  <cols>
    <col min="2" max="2" width="46.7109375" customWidth="1"/>
    <col min="3" max="4" width="10" bestFit="1" customWidth="1"/>
  </cols>
  <sheetData>
    <row r="2" spans="2:6" x14ac:dyDescent="0.25">
      <c r="B2" t="s">
        <v>10</v>
      </c>
      <c r="C2">
        <v>2025</v>
      </c>
      <c r="D2">
        <v>2024</v>
      </c>
    </row>
    <row r="3" spans="2:6" x14ac:dyDescent="0.25">
      <c r="B3" t="s">
        <v>2</v>
      </c>
    </row>
    <row r="4" spans="2:6" x14ac:dyDescent="0.25">
      <c r="B4" t="s">
        <v>39</v>
      </c>
      <c r="C4" s="14">
        <v>868.4</v>
      </c>
      <c r="D4" s="14">
        <v>892.4</v>
      </c>
      <c r="E4" s="3"/>
      <c r="F4" s="3"/>
    </row>
    <row r="5" spans="2:6" x14ac:dyDescent="0.25">
      <c r="B5" t="s">
        <v>40</v>
      </c>
      <c r="C5" s="14">
        <v>774.3</v>
      </c>
      <c r="D5" s="14">
        <v>725.7</v>
      </c>
    </row>
    <row r="6" spans="2:6" x14ac:dyDescent="0.25">
      <c r="B6" t="s">
        <v>38</v>
      </c>
      <c r="C6" s="14">
        <v>90.8</v>
      </c>
      <c r="D6" s="14">
        <v>94</v>
      </c>
    </row>
    <row r="7" spans="2:6" x14ac:dyDescent="0.25">
      <c r="B7" t="s">
        <v>3</v>
      </c>
      <c r="C7" s="14">
        <v>151.30000000000001</v>
      </c>
      <c r="D7" s="14">
        <v>158</v>
      </c>
    </row>
    <row r="8" spans="2:6" x14ac:dyDescent="0.25">
      <c r="B8" t="s">
        <v>41</v>
      </c>
      <c r="C8" s="14"/>
      <c r="D8" s="14">
        <v>29</v>
      </c>
    </row>
    <row r="9" spans="2:6" x14ac:dyDescent="0.25">
      <c r="B9" s="12" t="s">
        <v>4</v>
      </c>
      <c r="C9" s="16">
        <f>SUM(C4:C7)</f>
        <v>1884.7999999999997</v>
      </c>
      <c r="D9" s="16">
        <f>SUM(D4:D8)</f>
        <v>1899.1</v>
      </c>
    </row>
    <row r="10" spans="2:6" x14ac:dyDescent="0.25">
      <c r="C10" s="1"/>
      <c r="D10" s="1"/>
      <c r="F10" s="4" t="s">
        <v>13</v>
      </c>
    </row>
    <row r="11" spans="2:6" x14ac:dyDescent="0.25">
      <c r="B11" t="s">
        <v>5</v>
      </c>
    </row>
    <row r="12" spans="2:6" x14ac:dyDescent="0.25">
      <c r="B12" t="s">
        <v>65</v>
      </c>
      <c r="C12" s="3">
        <v>14.3</v>
      </c>
      <c r="D12" s="3">
        <v>12.9</v>
      </c>
    </row>
    <row r="13" spans="2:6" x14ac:dyDescent="0.25">
      <c r="B13" t="s">
        <v>42</v>
      </c>
      <c r="C13" s="3">
        <v>27.6</v>
      </c>
      <c r="D13" s="3">
        <v>29.1</v>
      </c>
    </row>
    <row r="14" spans="2:6" x14ac:dyDescent="0.25">
      <c r="B14" t="s">
        <v>97</v>
      </c>
      <c r="C14" s="3">
        <v>268.89999999999998</v>
      </c>
      <c r="D14" s="3">
        <v>127.7</v>
      </c>
    </row>
    <row r="15" spans="2:6" x14ac:dyDescent="0.25">
      <c r="B15" t="s">
        <v>66</v>
      </c>
      <c r="C15" s="3">
        <v>2339.3000000000002</v>
      </c>
      <c r="D15" s="3">
        <v>2129.6</v>
      </c>
      <c r="F15" s="4" t="s">
        <v>13</v>
      </c>
    </row>
    <row r="16" spans="2:6" x14ac:dyDescent="0.25">
      <c r="B16" t="s">
        <v>67</v>
      </c>
      <c r="C16" s="1">
        <v>557.29999999999995</v>
      </c>
      <c r="D16" s="1">
        <v>557.79999999999995</v>
      </c>
    </row>
    <row r="17" spans="2:6" x14ac:dyDescent="0.25">
      <c r="B17" t="s">
        <v>43</v>
      </c>
      <c r="C17">
        <v>977.1</v>
      </c>
      <c r="D17">
        <v>955.5</v>
      </c>
    </row>
    <row r="18" spans="2:6" x14ac:dyDescent="0.25">
      <c r="B18" t="s">
        <v>68</v>
      </c>
      <c r="C18" s="3">
        <v>69.599999999999994</v>
      </c>
      <c r="D18" s="3">
        <v>69.2</v>
      </c>
    </row>
    <row r="19" spans="2:6" x14ac:dyDescent="0.25">
      <c r="B19" s="12" t="s">
        <v>44</v>
      </c>
      <c r="C19" s="16">
        <f>SUM(C12:C18)</f>
        <v>4254.1000000000013</v>
      </c>
      <c r="D19" s="16">
        <f>SUM(D12:D18)</f>
        <v>3881.7999999999993</v>
      </c>
    </row>
    <row r="20" spans="2:6" x14ac:dyDescent="0.25">
      <c r="B20" s="8"/>
      <c r="C20" s="15"/>
      <c r="D20" s="15"/>
    </row>
    <row r="21" spans="2:6" x14ac:dyDescent="0.25">
      <c r="B21" s="8" t="s">
        <v>6</v>
      </c>
      <c r="C21" s="15">
        <f>SUM(C19,C9)</f>
        <v>6138.9000000000015</v>
      </c>
      <c r="D21" s="15">
        <f>SUM(D19,D9)</f>
        <v>5780.9</v>
      </c>
    </row>
    <row r="22" spans="2:6" x14ac:dyDescent="0.25">
      <c r="B22" s="8"/>
      <c r="C22" s="15"/>
      <c r="D22" s="15"/>
    </row>
    <row r="23" spans="2:6" x14ac:dyDescent="0.25">
      <c r="B23" s="8"/>
      <c r="C23" s="15"/>
      <c r="D23" s="15"/>
    </row>
    <row r="24" spans="2:6" x14ac:dyDescent="0.25">
      <c r="B24" t="s">
        <v>45</v>
      </c>
      <c r="C24" s="3"/>
      <c r="D24" s="3"/>
    </row>
    <row r="25" spans="2:6" x14ac:dyDescent="0.25">
      <c r="B25" t="s">
        <v>46</v>
      </c>
      <c r="C25" s="3">
        <v>387.4</v>
      </c>
      <c r="D25" s="3">
        <v>590.5</v>
      </c>
      <c r="F25" s="4" t="s">
        <v>13</v>
      </c>
    </row>
    <row r="26" spans="2:6" x14ac:dyDescent="0.25">
      <c r="B26" t="s">
        <v>69</v>
      </c>
      <c r="C26" s="4">
        <v>5.3</v>
      </c>
      <c r="D26" s="1">
        <v>4.7</v>
      </c>
    </row>
    <row r="27" spans="2:6" x14ac:dyDescent="0.25">
      <c r="B27" t="s">
        <v>70</v>
      </c>
      <c r="C27">
        <v>60.1</v>
      </c>
      <c r="D27">
        <v>66.099999999999994</v>
      </c>
    </row>
    <row r="28" spans="2:6" x14ac:dyDescent="0.25">
      <c r="B28" t="s">
        <v>71</v>
      </c>
      <c r="C28" s="3">
        <v>954.2</v>
      </c>
      <c r="D28" s="3">
        <v>1001.1</v>
      </c>
    </row>
    <row r="29" spans="2:6" x14ac:dyDescent="0.25">
      <c r="B29" t="s">
        <v>72</v>
      </c>
      <c r="C29" s="3">
        <v>0.7</v>
      </c>
      <c r="D29" s="3">
        <v>1.1000000000000001</v>
      </c>
    </row>
    <row r="30" spans="2:6" x14ac:dyDescent="0.25">
      <c r="B30" t="s">
        <v>73</v>
      </c>
      <c r="C30" s="3">
        <v>19.399999999999999</v>
      </c>
      <c r="D30" s="3">
        <v>19.399999999999999</v>
      </c>
      <c r="F30" s="4" t="s">
        <v>9</v>
      </c>
    </row>
    <row r="31" spans="2:6" x14ac:dyDescent="0.25">
      <c r="B31" t="s">
        <v>74</v>
      </c>
      <c r="C31" s="3">
        <v>50</v>
      </c>
      <c r="D31" s="3">
        <v>45</v>
      </c>
      <c r="F31" s="3"/>
    </row>
    <row r="32" spans="2:6" x14ac:dyDescent="0.25">
      <c r="B32" t="s">
        <v>75</v>
      </c>
      <c r="C32">
        <v>60</v>
      </c>
      <c r="D32">
        <v>72.8</v>
      </c>
      <c r="F32" s="3"/>
    </row>
    <row r="33" spans="2:6" x14ac:dyDescent="0.25">
      <c r="B33" s="12" t="s">
        <v>7</v>
      </c>
      <c r="C33" s="17">
        <f>SUM(C25:C32)</f>
        <v>1537.1000000000001</v>
      </c>
      <c r="D33" s="17">
        <f>SUM(D25:D32)</f>
        <v>1800.7</v>
      </c>
      <c r="F33" s="4" t="s">
        <v>13</v>
      </c>
    </row>
    <row r="34" spans="2:6" x14ac:dyDescent="0.25">
      <c r="B34" s="8"/>
      <c r="C34" s="18"/>
      <c r="D34" s="18"/>
      <c r="F34" s="4"/>
    </row>
    <row r="35" spans="2:6" x14ac:dyDescent="0.25">
      <c r="B35" s="5" t="s">
        <v>47</v>
      </c>
      <c r="C35" s="3"/>
      <c r="D35" s="3"/>
    </row>
    <row r="36" spans="2:6" x14ac:dyDescent="0.25">
      <c r="B36" t="s">
        <v>90</v>
      </c>
      <c r="C36" s="14">
        <v>1184.8</v>
      </c>
      <c r="D36" s="14">
        <v>491.1</v>
      </c>
    </row>
    <row r="37" spans="2:6" x14ac:dyDescent="0.25">
      <c r="B37" t="s">
        <v>86</v>
      </c>
      <c r="C37" s="14">
        <v>21</v>
      </c>
      <c r="D37" s="14">
        <v>24.3</v>
      </c>
    </row>
    <row r="38" spans="2:6" x14ac:dyDescent="0.25">
      <c r="B38" t="s">
        <v>87</v>
      </c>
      <c r="C38" s="14">
        <v>162.9</v>
      </c>
      <c r="D38" s="14">
        <v>177.9</v>
      </c>
    </row>
    <row r="39" spans="2:6" x14ac:dyDescent="0.25">
      <c r="B39" t="s">
        <v>88</v>
      </c>
      <c r="C39" s="14">
        <v>2.8</v>
      </c>
      <c r="D39" s="14">
        <v>3.7</v>
      </c>
    </row>
    <row r="40" spans="2:6" x14ac:dyDescent="0.25">
      <c r="B40" t="s">
        <v>76</v>
      </c>
      <c r="C40" s="19">
        <v>18.5</v>
      </c>
      <c r="D40" s="19">
        <v>17.100000000000001</v>
      </c>
    </row>
    <row r="41" spans="2:6" x14ac:dyDescent="0.25">
      <c r="B41" t="s">
        <v>77</v>
      </c>
      <c r="C41" s="19">
        <v>45.6</v>
      </c>
      <c r="D41" s="19">
        <v>58.1</v>
      </c>
    </row>
    <row r="42" spans="2:6" x14ac:dyDescent="0.25">
      <c r="B42" t="s">
        <v>89</v>
      </c>
      <c r="C42" s="19">
        <v>19.399999999999999</v>
      </c>
      <c r="D42" s="19">
        <v>19.399999999999999</v>
      </c>
    </row>
    <row r="43" spans="2:6" x14ac:dyDescent="0.25">
      <c r="B43" t="s">
        <v>78</v>
      </c>
      <c r="C43" s="19">
        <v>166.1</v>
      </c>
      <c r="D43" s="19">
        <v>163</v>
      </c>
    </row>
    <row r="44" spans="2:6" x14ac:dyDescent="0.25">
      <c r="B44" s="12" t="s">
        <v>8</v>
      </c>
      <c r="C44" s="20">
        <f>SUM(C36:C43)</f>
        <v>1621.1</v>
      </c>
      <c r="D44" s="20">
        <f>SUM(D36:D43)</f>
        <v>954.6</v>
      </c>
    </row>
    <row r="46" spans="2:6" x14ac:dyDescent="0.25">
      <c r="B46" s="12" t="s">
        <v>48</v>
      </c>
      <c r="C46" s="17">
        <f>SUM(C44,C33)</f>
        <v>3158.2</v>
      </c>
      <c r="D46" s="17">
        <f>SUM(D44,D33)</f>
        <v>2755.3</v>
      </c>
    </row>
    <row r="48" spans="2:6" x14ac:dyDescent="0.25">
      <c r="B48" t="s">
        <v>79</v>
      </c>
      <c r="C48">
        <v>694.4</v>
      </c>
      <c r="D48">
        <v>694.4</v>
      </c>
    </row>
    <row r="49" spans="2:4" x14ac:dyDescent="0.25">
      <c r="B49" t="s">
        <v>80</v>
      </c>
      <c r="C49">
        <v>-0.8</v>
      </c>
      <c r="D49">
        <v>-1.6</v>
      </c>
    </row>
    <row r="50" spans="2:4" x14ac:dyDescent="0.25">
      <c r="B50" t="s">
        <v>81</v>
      </c>
      <c r="C50">
        <v>19.399999999999999</v>
      </c>
      <c r="D50">
        <v>103.2</v>
      </c>
    </row>
    <row r="51" spans="2:4" x14ac:dyDescent="0.25">
      <c r="B51" t="s">
        <v>82</v>
      </c>
      <c r="C51">
        <v>-179.6</v>
      </c>
      <c r="D51">
        <v>-206.7</v>
      </c>
    </row>
    <row r="52" spans="2:4" x14ac:dyDescent="0.25">
      <c r="B52" t="s">
        <v>83</v>
      </c>
      <c r="C52" s="7">
        <v>2062.1</v>
      </c>
      <c r="D52" s="7">
        <v>2009.7</v>
      </c>
    </row>
    <row r="53" spans="2:4" x14ac:dyDescent="0.25">
      <c r="B53" t="s">
        <v>49</v>
      </c>
    </row>
    <row r="54" spans="2:4" x14ac:dyDescent="0.25">
      <c r="B54" t="s">
        <v>84</v>
      </c>
      <c r="C54">
        <v>385.2</v>
      </c>
      <c r="D54">
        <v>426.6</v>
      </c>
    </row>
    <row r="55" spans="2:4" x14ac:dyDescent="0.25">
      <c r="B55" s="12" t="s">
        <v>50</v>
      </c>
      <c r="C55" s="12">
        <f>SUM(C48:C54)</f>
        <v>2980.7</v>
      </c>
      <c r="D55" s="12">
        <f>SUM(D48:D54)</f>
        <v>3025.6</v>
      </c>
    </row>
    <row r="57" spans="2:4" x14ac:dyDescent="0.25">
      <c r="B57" s="12" t="s">
        <v>51</v>
      </c>
      <c r="C57" s="17">
        <f>SUM(C55,C46)</f>
        <v>6138.9</v>
      </c>
      <c r="D57" s="17">
        <f>SUM(D55,D46)</f>
        <v>5780.9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E4196F-368A-4A41-B83E-1460D3614F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Unlevered cash flow</vt:lpstr>
      <vt:lpstr>WACC</vt:lpstr>
      <vt:lpstr>COMPARABLE COMPANIES</vt:lpstr>
      <vt:lpstr>Profit &amp; loss</vt:lpstr>
      <vt:lpstr>cash Flow</vt:lpstr>
      <vt:lpstr>balance sheet</vt:lpstr>
      <vt:lpstr>Fixed assets schedule</vt:lpstr>
      <vt:lpstr>retained earnings schedule</vt:lpstr>
      <vt:lpstr>non-controlling interests </vt:lpstr>
      <vt:lpstr>debt schedule</vt:lpstr>
      <vt:lpstr>data source---&gt;</vt:lpstr>
      <vt:lpstr>Income Statement - Data</vt:lpstr>
      <vt:lpstr>Balance Sheet -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Quach</dc:creator>
  <cp:lastModifiedBy>Chengjing Yu</cp:lastModifiedBy>
  <cp:lastPrinted>2026-09-11T06:44:54Z</cp:lastPrinted>
  <dcterms:created xsi:type="dcterms:W3CDTF">2022-01-10T18:21:57Z</dcterms:created>
  <dcterms:modified xsi:type="dcterms:W3CDTF">2026-09-11T10:11:24Z</dcterms:modified>
</cp:coreProperties>
</file>